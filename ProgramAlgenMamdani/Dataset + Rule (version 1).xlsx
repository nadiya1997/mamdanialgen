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han Kuliah\Bahan TA\Tugas Akhir 1 Nadiya\Excel\"/>
    </mc:Choice>
  </mc:AlternateContent>
  <xr:revisionPtr revIDLastSave="0" documentId="13_ncr:1_{8BCBD7AD-5F1E-4551-A87A-92404DC71F47}" xr6:coauthVersionLast="43" xr6:coauthVersionMax="43" xr10:uidLastSave="{00000000-0000-0000-0000-000000000000}"/>
  <bookViews>
    <workbookView xWindow="-120" yWindow="-120" windowWidth="20730" windowHeight="11760" firstSheet="3" activeTab="9" xr2:uid="{00000000-000D-0000-FFFF-FFFF00000000}"/>
  </bookViews>
  <sheets>
    <sheet name="Rule" sheetId="1" r:id="rId1"/>
    <sheet name="Dataset" sheetId="2" r:id="rId2"/>
    <sheet name="Fungsi Keanggotaan" sheetId="6" r:id="rId3"/>
    <sheet name="Algen" sheetId="4" r:id="rId4"/>
    <sheet name="Kromosom1" sheetId="9" r:id="rId5"/>
    <sheet name="Sheet1" sheetId="12" r:id="rId6"/>
    <sheet name="Kromosom2" sheetId="10" r:id="rId7"/>
    <sheet name="Kromosom3" sheetId="11" r:id="rId8"/>
    <sheet name="Data1" sheetId="7" r:id="rId9"/>
    <sheet name="Sheet2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1" i="13" l="1"/>
  <c r="L20" i="13"/>
  <c r="L19" i="13"/>
  <c r="I21" i="13"/>
  <c r="I20" i="13"/>
  <c r="I19" i="13"/>
  <c r="F21" i="13"/>
  <c r="F20" i="13"/>
  <c r="F19" i="13"/>
  <c r="C21" i="13"/>
  <c r="C20" i="13"/>
  <c r="C19" i="13"/>
  <c r="O28" i="9"/>
  <c r="O23" i="9"/>
  <c r="K92" i="9" l="1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 l="1"/>
  <c r="J118" i="9"/>
  <c r="L118" i="9" l="1"/>
  <c r="B34" i="4"/>
  <c r="B35" i="4"/>
  <c r="C90" i="4" l="1"/>
  <c r="E92" i="4" l="1"/>
  <c r="K91" i="4"/>
  <c r="H91" i="4"/>
  <c r="D91" i="4"/>
  <c r="M90" i="4"/>
  <c r="G90" i="4"/>
  <c r="B30" i="4"/>
  <c r="B29" i="4"/>
  <c r="B191" i="11"/>
  <c r="B281" i="11"/>
  <c r="B101" i="11"/>
  <c r="I199" i="11"/>
  <c r="I198" i="11"/>
  <c r="G109" i="11"/>
  <c r="E199" i="11"/>
  <c r="E198" i="11"/>
  <c r="I109" i="11"/>
  <c r="I108" i="11"/>
  <c r="G108" i="11"/>
  <c r="E110" i="11"/>
  <c r="E109" i="11"/>
  <c r="I22" i="11"/>
  <c r="I21" i="11"/>
  <c r="G22" i="11"/>
  <c r="G21" i="11"/>
  <c r="E23" i="11"/>
  <c r="E22" i="11"/>
  <c r="B281" i="10"/>
  <c r="F232" i="10"/>
  <c r="C206" i="10" l="1"/>
  <c r="I200" i="10"/>
  <c r="I199" i="10"/>
  <c r="G200" i="10"/>
  <c r="G199" i="10"/>
  <c r="G109" i="10"/>
  <c r="C109" i="10"/>
  <c r="C110" i="10"/>
  <c r="B101" i="10"/>
  <c r="E198" i="10"/>
  <c r="B191" i="10"/>
  <c r="I110" i="10"/>
  <c r="I109" i="10"/>
  <c r="G110" i="10"/>
  <c r="C22" i="10"/>
  <c r="I23" i="10"/>
  <c r="I22" i="10"/>
  <c r="G23" i="10"/>
  <c r="G22" i="10"/>
  <c r="C23" i="10"/>
  <c r="B245" i="10"/>
  <c r="C236" i="10"/>
  <c r="C234" i="10"/>
  <c r="C232" i="10"/>
  <c r="C230" i="10"/>
  <c r="C224" i="10"/>
  <c r="C222" i="10"/>
  <c r="C220" i="10"/>
  <c r="C218" i="10"/>
  <c r="C212" i="10"/>
  <c r="C210" i="10"/>
  <c r="C208" i="10"/>
  <c r="E199" i="10"/>
  <c r="I98" i="6"/>
  <c r="H98" i="6"/>
  <c r="B122" i="9"/>
  <c r="B212" i="9"/>
  <c r="B302" i="9"/>
  <c r="B266" i="9"/>
  <c r="F229" i="9"/>
  <c r="F227" i="9"/>
  <c r="C257" i="9"/>
  <c r="C255" i="9"/>
  <c r="C245" i="9"/>
  <c r="C243" i="9"/>
  <c r="C233" i="9"/>
  <c r="C231" i="9"/>
  <c r="C253" i="9"/>
  <c r="C251" i="9"/>
  <c r="C241" i="9"/>
  <c r="C239" i="9"/>
  <c r="C229" i="9"/>
  <c r="C227" i="9"/>
  <c r="I220" i="9"/>
  <c r="I219" i="9"/>
  <c r="E130" i="9"/>
  <c r="E220" i="9"/>
  <c r="E42" i="9"/>
  <c r="E219" i="9"/>
  <c r="G130" i="9"/>
  <c r="G42" i="9"/>
  <c r="G129" i="9"/>
  <c r="G41" i="9"/>
  <c r="E129" i="9"/>
  <c r="E41" i="9"/>
  <c r="I42" i="9" l="1"/>
  <c r="I41" i="9"/>
  <c r="C17" i="4"/>
  <c r="D17" i="4"/>
  <c r="I71" i="4"/>
  <c r="E71" i="4"/>
  <c r="B87" i="7"/>
  <c r="I103" i="6"/>
  <c r="I97" i="6"/>
  <c r="I99" i="6"/>
  <c r="I100" i="6"/>
  <c r="I101" i="6"/>
  <c r="I102" i="6"/>
  <c r="I96" i="6"/>
  <c r="H97" i="6"/>
  <c r="H99" i="6"/>
  <c r="H100" i="6"/>
  <c r="H101" i="6"/>
  <c r="H102" i="6"/>
  <c r="H103" i="6"/>
  <c r="H96" i="6"/>
  <c r="H95" i="6"/>
  <c r="H89" i="6"/>
  <c r="H90" i="6"/>
  <c r="H91" i="6"/>
  <c r="H92" i="6"/>
  <c r="H93" i="6"/>
  <c r="H94" i="6"/>
  <c r="H88" i="6"/>
  <c r="G91" i="6"/>
  <c r="G92" i="6"/>
  <c r="G93" i="6"/>
  <c r="G94" i="6"/>
  <c r="G95" i="6"/>
  <c r="G90" i="6"/>
  <c r="G85" i="6"/>
  <c r="G86" i="6"/>
  <c r="G87" i="6"/>
  <c r="G88" i="6"/>
  <c r="G89" i="6"/>
  <c r="G84" i="6"/>
  <c r="F85" i="6"/>
  <c r="F84" i="6"/>
  <c r="B32" i="7"/>
  <c r="B30" i="7"/>
  <c r="B28" i="7"/>
  <c r="B26" i="7"/>
  <c r="B24" i="7"/>
  <c r="B22" i="7"/>
  <c r="G5" i="7" l="1"/>
  <c r="C5" i="7"/>
  <c r="C4" i="7"/>
  <c r="S35" i="6"/>
  <c r="S36" i="6"/>
  <c r="S37" i="6"/>
  <c r="S38" i="6"/>
  <c r="S34" i="6"/>
  <c r="R37" i="6"/>
  <c r="R38" i="6"/>
  <c r="R35" i="6"/>
  <c r="R36" i="6"/>
  <c r="R34" i="6"/>
  <c r="R33" i="6"/>
  <c r="R30" i="6"/>
  <c r="R31" i="6"/>
  <c r="R32" i="6"/>
  <c r="R29" i="6"/>
  <c r="R28" i="6"/>
  <c r="Q31" i="6"/>
  <c r="Q32" i="6"/>
  <c r="Q33" i="6"/>
  <c r="Q29" i="6"/>
  <c r="Q30" i="6"/>
  <c r="Q28" i="6"/>
  <c r="N38" i="6"/>
  <c r="N39" i="6"/>
  <c r="N40" i="6"/>
  <c r="N41" i="6"/>
  <c r="N37" i="6"/>
  <c r="M38" i="6"/>
  <c r="M39" i="6"/>
  <c r="M40" i="6"/>
  <c r="M41" i="6"/>
  <c r="M37" i="6"/>
  <c r="M33" i="6"/>
  <c r="M34" i="6"/>
  <c r="M35" i="6"/>
  <c r="M36" i="6"/>
  <c r="M32" i="6"/>
  <c r="L33" i="6"/>
  <c r="L34" i="6"/>
  <c r="L32" i="6"/>
  <c r="I51" i="6" l="1"/>
  <c r="I42" i="6"/>
  <c r="I43" i="6"/>
  <c r="I44" i="6"/>
  <c r="I45" i="6"/>
  <c r="I46" i="6"/>
  <c r="I47" i="6"/>
  <c r="I48" i="6"/>
  <c r="I49" i="6"/>
  <c r="I50" i="6"/>
  <c r="H43" i="6"/>
  <c r="H44" i="6"/>
  <c r="H45" i="6"/>
  <c r="H46" i="6"/>
  <c r="H47" i="6"/>
  <c r="H48" i="6"/>
  <c r="H49" i="6"/>
  <c r="H50" i="6"/>
  <c r="H51" i="6"/>
  <c r="H42" i="6"/>
  <c r="H39" i="6"/>
  <c r="H40" i="6"/>
  <c r="H41" i="6"/>
  <c r="H32" i="6"/>
  <c r="H33" i="6"/>
  <c r="H34" i="6"/>
  <c r="H35" i="6"/>
  <c r="H36" i="6"/>
  <c r="H37" i="6"/>
  <c r="H38" i="6"/>
  <c r="H31" i="6"/>
  <c r="G38" i="6"/>
  <c r="G39" i="6"/>
  <c r="G40" i="6"/>
  <c r="G41" i="6"/>
  <c r="G33" i="6"/>
  <c r="G34" i="6"/>
  <c r="G35" i="6"/>
  <c r="G36" i="6"/>
  <c r="G37" i="6"/>
  <c r="G32" i="6"/>
  <c r="D41" i="6"/>
  <c r="D42" i="6"/>
  <c r="D40" i="6"/>
  <c r="C42" i="6"/>
  <c r="C41" i="6"/>
  <c r="C40" i="6"/>
  <c r="C37" i="6"/>
  <c r="C38" i="6"/>
  <c r="C39" i="6"/>
  <c r="C36" i="6"/>
  <c r="B38" i="6"/>
  <c r="B39" i="6"/>
  <c r="B37" i="6"/>
  <c r="D40" i="4" l="1"/>
  <c r="K37" i="4"/>
  <c r="M23" i="4"/>
  <c r="L23" i="4"/>
  <c r="K23" i="4"/>
  <c r="J23" i="4"/>
  <c r="I23" i="4"/>
  <c r="H23" i="4"/>
  <c r="G23" i="4"/>
  <c r="F23" i="4"/>
  <c r="E23" i="4"/>
  <c r="D23" i="4"/>
  <c r="C23" i="4"/>
  <c r="B23" i="4"/>
  <c r="M20" i="4"/>
  <c r="L20" i="4"/>
  <c r="K20" i="4"/>
  <c r="J20" i="4"/>
  <c r="I20" i="4"/>
  <c r="H20" i="4"/>
  <c r="G20" i="4"/>
  <c r="F20" i="4"/>
  <c r="E20" i="4"/>
  <c r="D20" i="4"/>
  <c r="C20" i="4"/>
  <c r="B20" i="4"/>
  <c r="M17" i="4"/>
  <c r="L17" i="4"/>
  <c r="K17" i="4"/>
  <c r="J17" i="4"/>
  <c r="I17" i="4"/>
  <c r="H17" i="4"/>
  <c r="G17" i="4"/>
  <c r="F17" i="4"/>
  <c r="E17" i="4"/>
  <c r="B17" i="4"/>
</calcChain>
</file>

<file path=xl/sharedStrings.xml><?xml version="1.0" encoding="utf-8"?>
<sst xmlns="http://schemas.openxmlformats.org/spreadsheetml/2006/main" count="2406" uniqueCount="391">
  <si>
    <t>RULE</t>
  </si>
  <si>
    <t>No</t>
  </si>
  <si>
    <t>Temperature</t>
  </si>
  <si>
    <t>Humidity</t>
  </si>
  <si>
    <t>Air Pressure</t>
  </si>
  <si>
    <t>Wind Speed</t>
  </si>
  <si>
    <t>Result</t>
  </si>
  <si>
    <t>Cold</t>
  </si>
  <si>
    <t>Warm</t>
  </si>
  <si>
    <t>Hot</t>
  </si>
  <si>
    <t>Dry</t>
  </si>
  <si>
    <t>Wet</t>
  </si>
  <si>
    <t>Moist</t>
  </si>
  <si>
    <t>Low</t>
  </si>
  <si>
    <t>Medium</t>
  </si>
  <si>
    <t>High</t>
  </si>
  <si>
    <t>Sedang</t>
  </si>
  <si>
    <t>Kencang</t>
  </si>
  <si>
    <t>Skencang</t>
  </si>
  <si>
    <t>Light Rain</t>
  </si>
  <si>
    <t>Rain</t>
  </si>
  <si>
    <t>Cloudy</t>
  </si>
  <si>
    <t>Sunny</t>
  </si>
  <si>
    <t>Date</t>
  </si>
  <si>
    <t>Light rain</t>
  </si>
  <si>
    <t>C</t>
  </si>
  <si>
    <t>W</t>
  </si>
  <si>
    <t>H</t>
  </si>
  <si>
    <t>24 &lt;= a &lt;= 27.5</t>
  </si>
  <si>
    <t>a &gt; 27.5</t>
  </si>
  <si>
    <t>x</t>
  </si>
  <si>
    <t>Suhu</t>
  </si>
  <si>
    <t>Kelembaban</t>
  </si>
  <si>
    <t>Kecepatan Angin</t>
  </si>
  <si>
    <t>Tekanan Udara</t>
  </si>
  <si>
    <t>Fungsi keanggotaan Pakar</t>
  </si>
  <si>
    <t>Parameter Algoritma Genetika</t>
  </si>
  <si>
    <t>Popsize</t>
  </si>
  <si>
    <t>cr</t>
  </si>
  <si>
    <t>mr</t>
  </si>
  <si>
    <t>1. Pembangkitan Populasi</t>
  </si>
  <si>
    <r>
      <t>2. Hitung Fitness (</t>
    </r>
    <r>
      <rPr>
        <i/>
        <sz val="11"/>
        <color theme="1"/>
        <rFont val="Calibri"/>
        <family val="2"/>
        <scheme val="minor"/>
      </rPr>
      <t>Fuzzy Inference System Mamdani)</t>
    </r>
  </si>
  <si>
    <r>
      <t xml:space="preserve">3. </t>
    </r>
    <r>
      <rPr>
        <i/>
        <sz val="11"/>
        <color theme="1"/>
        <rFont val="Calibri"/>
        <family val="2"/>
        <scheme val="minor"/>
      </rPr>
      <t>Crossover</t>
    </r>
  </si>
  <si>
    <t>Xmin</t>
  </si>
  <si>
    <t>Xmax</t>
  </si>
  <si>
    <t>Ei = Ei + (Xmax-Ei)*wk</t>
  </si>
  <si>
    <t>Ei = Ei - (Ei - Xmin)*wk</t>
  </si>
  <si>
    <t>4. Mutasi</t>
  </si>
  <si>
    <t>Hitung nilai fitness dari masing-masing individu</t>
  </si>
  <si>
    <t>Hitung banyak kromosom yang akan mengalami crossover dgn rumus = cr*jmlh kromosom</t>
  </si>
  <si>
    <t>popsize</t>
  </si>
  <si>
    <t>julh kromosm yg mengalami crossover</t>
  </si>
  <si>
    <t>=</t>
  </si>
  <si>
    <t>Bandingkan Rk(nilai acak) dengan cr, sesuai urutan ranking, jika nilai Rk &lt; cr maka, kromosom tersebut akan dipilih sebagai parent</t>
  </si>
  <si>
    <t>K1</t>
  </si>
  <si>
    <t>K2</t>
  </si>
  <si>
    <t>K3</t>
  </si>
  <si>
    <t>Rk</t>
  </si>
  <si>
    <t>&lt;</t>
  </si>
  <si>
    <t>&gt;</t>
  </si>
  <si>
    <t xml:space="preserve">parent1 </t>
  </si>
  <si>
    <t>parent2</t>
  </si>
  <si>
    <t xml:space="preserve">Lakukan Proses Pindah Silang atau Crossover </t>
  </si>
  <si>
    <t>K1   =</t>
  </si>
  <si>
    <r>
      <t xml:space="preserve">Sebelum dilakukan </t>
    </r>
    <r>
      <rPr>
        <b/>
        <i/>
        <sz val="11"/>
        <color theme="1"/>
        <rFont val="Calibri"/>
        <family val="2"/>
        <scheme val="minor"/>
      </rPr>
      <t>crossover</t>
    </r>
  </si>
  <si>
    <r>
      <t xml:space="preserve">Setelah dilakukan </t>
    </r>
    <r>
      <rPr>
        <b/>
        <i/>
        <sz val="11"/>
        <color theme="1"/>
        <rFont val="Calibri"/>
        <family val="2"/>
        <scheme val="minor"/>
      </rPr>
      <t>crossover</t>
    </r>
  </si>
  <si>
    <t>K2   &gt;&lt;</t>
  </si>
  <si>
    <t>K3   &gt;&lt;</t>
  </si>
  <si>
    <t>Fungsi Keanggotaan Suhu</t>
  </si>
  <si>
    <t>Linguistick variabel</t>
  </si>
  <si>
    <t xml:space="preserve">Interval </t>
  </si>
  <si>
    <t>26 &lt;= a &lt;= 29</t>
  </si>
  <si>
    <t>μcold(x)</t>
  </si>
  <si>
    <t>x &lt;= 26</t>
  </si>
  <si>
    <t>(27.5-x)/27.5-26</t>
  </si>
  <si>
    <t>26 &lt; x &lt; 27.5</t>
  </si>
  <si>
    <t>x &gt;= 27.5</t>
  </si>
  <si>
    <t>μwarm(x)</t>
  </si>
  <si>
    <t>(x-26)/(27.5-26)</t>
  </si>
  <si>
    <t>(29-x)/(29-27.5)</t>
  </si>
  <si>
    <t>26 &lt; x &lt;= 27.5</t>
  </si>
  <si>
    <t>27.5 &lt; x &lt;= 29</t>
  </si>
  <si>
    <t>x &gt; 29</t>
  </si>
  <si>
    <t>μhot(x)</t>
  </si>
  <si>
    <t>x &lt;= 27.5</t>
  </si>
  <si>
    <t>(x-27.5)/(29-27.5)</t>
  </si>
  <si>
    <t>x &gt; 29 dan x &lt; 26</t>
  </si>
  <si>
    <t>D</t>
  </si>
  <si>
    <t>M</t>
  </si>
  <si>
    <t>μdry(x)</t>
  </si>
  <si>
    <t>μwet(x)</t>
  </si>
  <si>
    <t>μmoist(x)</t>
  </si>
  <si>
    <t>65 &lt; b &lt;= 85</t>
  </si>
  <si>
    <t>75 &lt; b &lt;= 100</t>
  </si>
  <si>
    <t>60 &lt;= b &lt;= 75</t>
  </si>
  <si>
    <t>x &lt;= 65</t>
  </si>
  <si>
    <t>65 &lt; x &lt; 75</t>
  </si>
  <si>
    <t>x &gt;= 75</t>
  </si>
  <si>
    <t>(x-65)/(75-65)</t>
  </si>
  <si>
    <t>(85-x)/(85-75)</t>
  </si>
  <si>
    <t>65 &lt; x &lt;= 75</t>
  </si>
  <si>
    <t>75 &lt; x &lt;= 85</t>
  </si>
  <si>
    <t>x &gt; 85 dan x &lt; 65</t>
  </si>
  <si>
    <t>x &lt;= 75</t>
  </si>
  <si>
    <t>x &gt; 85</t>
  </si>
  <si>
    <t>(75-x)/75-65</t>
  </si>
  <si>
    <t>(x-75)/(85-75)</t>
  </si>
  <si>
    <t xml:space="preserve">Fungsi Keanggotaan Kelembaban </t>
  </si>
  <si>
    <t>Fungsi Keanggotaan Tekanan Udara</t>
  </si>
  <si>
    <t>L</t>
  </si>
  <si>
    <t>μLow(x)</t>
  </si>
  <si>
    <t>μMedium(x)</t>
  </si>
  <si>
    <t>μHigh(x)</t>
  </si>
  <si>
    <t>x &lt;= 1008.5</t>
  </si>
  <si>
    <t>1008.5 &lt; x &lt; 1010</t>
  </si>
  <si>
    <t>x &gt;= 1010</t>
  </si>
  <si>
    <t>(1010-x)/1010-1008.5</t>
  </si>
  <si>
    <t>1008.5 &lt; x &lt;= 1011</t>
  </si>
  <si>
    <t>1011 &lt; x &lt;= 1013.5</t>
  </si>
  <si>
    <t>x &gt; 1013.5 dan x &lt; 1008.5</t>
  </si>
  <si>
    <t>x &lt;= 1011</t>
  </si>
  <si>
    <t>x &gt; 1013.5</t>
  </si>
  <si>
    <t>(x-1008.5)/(1011-1008.5)</t>
  </si>
  <si>
    <t>(1013.5-x)/(1013.5-1011)</t>
  </si>
  <si>
    <t>(x-1011)/(1013.5-1011)</t>
  </si>
  <si>
    <t>S</t>
  </si>
  <si>
    <t>K</t>
  </si>
  <si>
    <t>SK</t>
  </si>
  <si>
    <t>c &lt;= 1010</t>
  </si>
  <si>
    <t>1008.5 &lt; c &lt;= 1013.5</t>
  </si>
  <si>
    <t>c &gt; 1011</t>
  </si>
  <si>
    <t>x &lt;= 2</t>
  </si>
  <si>
    <t>2 &lt; x &lt; 4</t>
  </si>
  <si>
    <t>x &gt;= 4</t>
  </si>
  <si>
    <t>μS(x)</t>
  </si>
  <si>
    <t>μK(x)</t>
  </si>
  <si>
    <t>μSK(x)</t>
  </si>
  <si>
    <t>d &lt;= 5</t>
  </si>
  <si>
    <t>3 &lt; d &lt;= 7</t>
  </si>
  <si>
    <t>d &gt; 5</t>
  </si>
  <si>
    <t>x &gt; 7</t>
  </si>
  <si>
    <t>2 &lt; x &lt; 4.5</t>
  </si>
  <si>
    <t>x &gt;= 4.5</t>
  </si>
  <si>
    <t>2 &lt; x &lt;= 4.5</t>
  </si>
  <si>
    <t>x &lt;= 4.5</t>
  </si>
  <si>
    <t>4.5 &lt; x &lt;= 7</t>
  </si>
  <si>
    <t>(4.5-x)/4.5-2</t>
  </si>
  <si>
    <t>(x-2)/(4.5-2)</t>
  </si>
  <si>
    <t>(7-x)/(7-4.5)</t>
  </si>
  <si>
    <t>(x-4.5)/(7-4.5)</t>
  </si>
  <si>
    <t>x &gt; 7 dan x &lt; 2</t>
  </si>
  <si>
    <t>FUZZYFIKASI</t>
  </si>
  <si>
    <t>Suhu Udara</t>
  </si>
  <si>
    <t>Data1</t>
  </si>
  <si>
    <t>IMPLIKASI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</si>
  <si>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</si>
  <si>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</si>
  <si>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</si>
  <si>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</si>
  <si>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</si>
  <si>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</si>
  <si>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</si>
  <si>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</si>
  <si>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</si>
  <si>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</si>
  <si>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</si>
  <si>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</si>
  <si>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</si>
  <si>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</si>
  <si>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</si>
  <si>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</si>
  <si>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</si>
  <si>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</si>
  <si>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AGREGASI</t>
  </si>
  <si>
    <t>Fungsi Keanggotaan Output</t>
  </si>
  <si>
    <t>Cerah</t>
  </si>
  <si>
    <t>Berawan</t>
  </si>
  <si>
    <t>Hujan Ringan</t>
  </si>
  <si>
    <t>Hujan</t>
  </si>
  <si>
    <t>0 &lt;= o &lt;= 4</t>
  </si>
  <si>
    <t>2 &lt;= a &lt;= 14</t>
  </si>
  <si>
    <t>6 &lt;= o &lt;= 22</t>
  </si>
  <si>
    <t>o &gt;=14</t>
  </si>
  <si>
    <t>μc(x)</t>
  </si>
  <si>
    <t>μb(x)</t>
  </si>
  <si>
    <t>μhr(x)</t>
  </si>
  <si>
    <t>μh(x)</t>
  </si>
  <si>
    <t>(4-x)/(4-2)</t>
  </si>
  <si>
    <t>(x-2)/(8-2)</t>
  </si>
  <si>
    <t>(14-x)/(14-8)</t>
  </si>
  <si>
    <t>2 &lt; x &lt;= 8</t>
  </si>
  <si>
    <t>8 &lt; x &lt;= 14</t>
  </si>
  <si>
    <t>x &gt; 14 dan x &lt; 2</t>
  </si>
  <si>
    <t>(x-6)/(14-6)</t>
  </si>
  <si>
    <t>(22-x)/(22-14)</t>
  </si>
  <si>
    <t>(x-14)/(22-14)</t>
  </si>
  <si>
    <t>6 &lt; x &lt;= 14</t>
  </si>
  <si>
    <t>14 &lt; x &lt;= 22</t>
  </si>
  <si>
    <t>x &gt; 22 dan x &lt; 6</t>
  </si>
  <si>
    <t>x &lt;= 14</t>
  </si>
  <si>
    <t>x &gt; 22</t>
  </si>
  <si>
    <t>DEFFUZIFIKASI</t>
  </si>
  <si>
    <t>Max(Cerah)</t>
  </si>
  <si>
    <t>Max(Berawan)</t>
  </si>
  <si>
    <t>Max(HujanR)</t>
  </si>
  <si>
    <t>Max(Hujan)</t>
  </si>
  <si>
    <r>
      <rPr>
        <b/>
        <sz val="11"/>
        <color theme="1"/>
        <rFont val="Symbol"/>
        <family val="1"/>
        <charset val="2"/>
      </rPr>
      <t>m</t>
    </r>
    <r>
      <rPr>
        <b/>
        <sz val="11"/>
        <color theme="1"/>
        <rFont val="Calibri"/>
        <family val="2"/>
        <scheme val="minor"/>
      </rPr>
      <t xml:space="preserve">C </t>
    </r>
    <r>
      <rPr>
        <b/>
        <sz val="11"/>
        <color theme="1"/>
        <rFont val="Symbol"/>
        <family val="1"/>
        <charset val="2"/>
      </rPr>
      <t>Ç</t>
    </r>
    <r>
      <rPr>
        <b/>
        <sz val="11"/>
        <color theme="1"/>
        <rFont val="Calibri"/>
        <family val="2"/>
        <scheme val="minor"/>
      </rPr>
      <t xml:space="preserve"> max(C)</t>
    </r>
  </si>
  <si>
    <r>
      <rPr>
        <b/>
        <sz val="11"/>
        <color theme="1"/>
        <rFont val="Symbol"/>
        <family val="1"/>
        <charset val="2"/>
      </rPr>
      <t>mB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Symbol"/>
        <family val="1"/>
        <charset val="2"/>
      </rPr>
      <t>Ç</t>
    </r>
    <r>
      <rPr>
        <b/>
        <sz val="11"/>
        <color theme="1"/>
        <rFont val="Calibri"/>
        <family val="2"/>
        <scheme val="minor"/>
      </rPr>
      <t xml:space="preserve"> max(B)</t>
    </r>
  </si>
  <si>
    <r>
      <rPr>
        <b/>
        <sz val="11"/>
        <color theme="1"/>
        <rFont val="Symbol"/>
        <family val="1"/>
        <charset val="2"/>
      </rPr>
      <t>mHN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Symbol"/>
        <family val="1"/>
        <charset val="2"/>
      </rPr>
      <t>Ç</t>
    </r>
    <r>
      <rPr>
        <b/>
        <sz val="11"/>
        <color theme="1"/>
        <rFont val="Calibri"/>
        <family val="2"/>
        <scheme val="minor"/>
      </rPr>
      <t xml:space="preserve"> max(HN)</t>
    </r>
  </si>
  <si>
    <r>
      <rPr>
        <b/>
        <sz val="11"/>
        <color theme="1"/>
        <rFont val="Symbol"/>
        <family val="1"/>
        <charset val="2"/>
      </rPr>
      <t>mH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Symbol"/>
        <family val="1"/>
        <charset val="2"/>
      </rPr>
      <t>Ç</t>
    </r>
    <r>
      <rPr>
        <b/>
        <sz val="11"/>
        <color theme="1"/>
        <rFont val="Calibri"/>
        <family val="2"/>
        <scheme val="minor"/>
      </rPr>
      <t xml:space="preserve"> max(H)</t>
    </r>
  </si>
  <si>
    <t>max</t>
  </si>
  <si>
    <t xml:space="preserve">z  =  </t>
  </si>
  <si>
    <t>total gen</t>
  </si>
  <si>
    <t>jum_kromosom</t>
  </si>
  <si>
    <t>jumgen_perkromosom</t>
  </si>
  <si>
    <t>total_gen</t>
  </si>
  <si>
    <t>x &lt;= 29.84</t>
  </si>
  <si>
    <t>29.84 &lt; x &lt; 30.425</t>
  </si>
  <si>
    <t>x &gt;= 30.425</t>
  </si>
  <si>
    <t>(30.425-x)/30.425-29.84</t>
  </si>
  <si>
    <t>30.425 &lt; x &lt;= 31.1</t>
  </si>
  <si>
    <t>29.84 &lt; x &lt;= 30.425</t>
  </si>
  <si>
    <t>x &gt; 31.1 dan x &lt; 29.84</t>
  </si>
  <si>
    <t>x &lt;= 30.425</t>
  </si>
  <si>
    <t>x &gt; 31.1</t>
  </si>
  <si>
    <t>(x-29.84)/(30.425-29.84)</t>
  </si>
  <si>
    <t>(30.425-x)/(31.1-30.425)</t>
  </si>
  <si>
    <t>(x-30.425)/(31.1-30.425)</t>
  </si>
  <si>
    <t>x &lt;= 77.8</t>
  </si>
  <si>
    <t>77.8 &lt; x &lt; 83.75</t>
  </si>
  <si>
    <t>x &gt;= 83.75</t>
  </si>
  <si>
    <t>77.8 &lt; x &lt;= 83.75</t>
  </si>
  <si>
    <t>83.75 &lt; x &lt;= 88</t>
  </si>
  <si>
    <t>x &gt; 88 dan x &lt; 77.8</t>
  </si>
  <si>
    <t>x &lt;= 83.75</t>
  </si>
  <si>
    <t>x &gt; 88</t>
  </si>
  <si>
    <t>(x-83.75)/(88-83.75)</t>
  </si>
  <si>
    <t>(88-x)/(88-83.75)</t>
  </si>
  <si>
    <t>(x-77.8)/(83.75-77.8)</t>
  </si>
  <si>
    <t>(83.75-x)/(83.75-77.8)</t>
  </si>
  <si>
    <t>x &lt;= 1010.375</t>
  </si>
  <si>
    <t>1010.375 &lt; x &lt; 1013.5</t>
  </si>
  <si>
    <t>x &gt;= 1013.5</t>
  </si>
  <si>
    <t>1013.5 &lt; x &lt;= 1014.56</t>
  </si>
  <si>
    <t>1010.375 &lt; x &lt;= 1013.5</t>
  </si>
  <si>
    <t>x &gt; 1014.56 dan x &lt; 1010.375</t>
  </si>
  <si>
    <t>x &lt;= 1013.5</t>
  </si>
  <si>
    <t>x &gt; 1014.56</t>
  </si>
  <si>
    <t>x &gt;= 7.3</t>
  </si>
  <si>
    <t>x &lt;= 7.3</t>
  </si>
  <si>
    <t>(x-2.65)/(7.3-2.65)</t>
  </si>
  <si>
    <t>(9.9-x)/(9.9-7.3)</t>
  </si>
  <si>
    <t>(x-7.3)/(9.9-7.3)</t>
  </si>
  <si>
    <t>(1013.5-x)/(1013.5-1010.375)</t>
  </si>
  <si>
    <t>(x-1010.375)/(1013.5-1010.375)</t>
  </si>
  <si>
    <t>(1014.56-x)/(1014.56-1013.5)</t>
  </si>
  <si>
    <t>(x-1013.5)/(1014.56-1013.5)</t>
  </si>
  <si>
    <t>(7.3-x)/(7.3-2.65)</t>
  </si>
  <si>
    <t>Max (rain)</t>
  </si>
  <si>
    <t>Max (berawan)</t>
  </si>
  <si>
    <t>DEFFUZYFIKASI</t>
  </si>
  <si>
    <t>x &lt;= 25</t>
  </si>
  <si>
    <t>x &lt;= 63</t>
  </si>
  <si>
    <t>x &lt;= 1007.54</t>
  </si>
  <si>
    <t>x &lt;= 1.7</t>
  </si>
  <si>
    <t>(26.1-x)/26.1-25</t>
  </si>
  <si>
    <t>25 &lt; x &lt; 26.1</t>
  </si>
  <si>
    <t>(68.76-x)/68.76-63</t>
  </si>
  <si>
    <t>63 &lt; x &lt; 68.5</t>
  </si>
  <si>
    <t>(1009.8-x)/1009.8-1007.54</t>
  </si>
  <si>
    <t>1007.54 &lt; x &lt; 1009.8</t>
  </si>
  <si>
    <t>(3.6-x)/3.6-1.7</t>
  </si>
  <si>
    <t>1.7 &lt; x &lt; 3.6</t>
  </si>
  <si>
    <t>x &gt;= 26.1</t>
  </si>
  <si>
    <t>x &gt;= 68.76</t>
  </si>
  <si>
    <t>x &gt;= 1009.8</t>
  </si>
  <si>
    <t>x &gt;= 3.6</t>
  </si>
  <si>
    <t>(x-25)/(26.1-25)</t>
  </si>
  <si>
    <t>25 &lt; x &lt;= 26.1</t>
  </si>
  <si>
    <t>(x-63)/(68.76-63)</t>
  </si>
  <si>
    <t>63 &lt; x &lt;= 68.76</t>
  </si>
  <si>
    <t>(x-1007.54)/(1009.8-1007.54)</t>
  </si>
  <si>
    <t>1007.54 &lt; x &lt;= 1009.8</t>
  </si>
  <si>
    <t>(x-1.7)/(3.6-1.7)</t>
  </si>
  <si>
    <t>1.7 &lt; x &lt;= 3.6</t>
  </si>
  <si>
    <t>(27.25-x)/(27.25-26.1)</t>
  </si>
  <si>
    <t>26.1 &lt; x &lt;= 27.25</t>
  </si>
  <si>
    <t>(72.9-x)/(72.9-68.76)</t>
  </si>
  <si>
    <t>68.76 &lt; x &lt;= 72.9</t>
  </si>
  <si>
    <t>1009.8 &lt; x &lt;= 1011.8</t>
  </si>
  <si>
    <t>(6.175-x)/(6.175-3.6)</t>
  </si>
  <si>
    <t>3.6 &lt; x &lt;= 6.175</t>
  </si>
  <si>
    <t>x &gt; 27.25 dan x &lt; 25</t>
  </si>
  <si>
    <t>x &gt; 72.9 dan x &lt; 63</t>
  </si>
  <si>
    <t>x &gt; 1011.8 dan x &lt; 1007.54</t>
  </si>
  <si>
    <t>x &gt; 6.175 dan x &lt; 1.7</t>
  </si>
  <si>
    <t>x &lt;= 26.1</t>
  </si>
  <si>
    <t>x &lt;= 68.76</t>
  </si>
  <si>
    <t>x &lt;= 1009.8</t>
  </si>
  <si>
    <t>x &lt;= 3.6</t>
  </si>
  <si>
    <t>(x-26.1)/(27.25-26.1)</t>
  </si>
  <si>
    <t>(x-68.76)/(72.9-68.76)</t>
  </si>
  <si>
    <t>(x-1009.8)/(1011.8-1009.8)</t>
  </si>
  <si>
    <t>(x-3.6)/(6.175-3.6)</t>
  </si>
  <si>
    <t>x &gt; 27.25</t>
  </si>
  <si>
    <t>x &gt; 72.9</t>
  </si>
  <si>
    <t>x &gt; 1011.8</t>
  </si>
  <si>
    <t>x &gt; 6.175</t>
  </si>
  <si>
    <t>Data 2</t>
  </si>
  <si>
    <t>Z</t>
  </si>
  <si>
    <t>Data 3</t>
  </si>
  <si>
    <t>(1011.8-x)/(1011.8-1009.8)</t>
  </si>
  <si>
    <t>Max (Cerah)</t>
  </si>
  <si>
    <t>x &lt;= 29</t>
  </si>
  <si>
    <t>(29.75-x)/29.75-29</t>
  </si>
  <si>
    <t>29 &lt; x &lt; 29.75</t>
  </si>
  <si>
    <t>x &gt;= 29.75</t>
  </si>
  <si>
    <t>(x-29)/(29.75-29)</t>
  </si>
  <si>
    <t>29 &lt; x &lt;= 29.75</t>
  </si>
  <si>
    <t>(30.56-x)/(30.56-29.75)</t>
  </si>
  <si>
    <t>29.75 &lt; x &lt;= 30.56</t>
  </si>
  <si>
    <t>x &gt; 30,56 dan x &lt; 29</t>
  </si>
  <si>
    <t>x &lt;= 29.75</t>
  </si>
  <si>
    <t>(x-29.75)/(30.56-29.75)</t>
  </si>
  <si>
    <t>x &gt; 30.56</t>
  </si>
  <si>
    <t>x &lt;= 68.55</t>
  </si>
  <si>
    <t>(76.25-x)/76.25-68.55</t>
  </si>
  <si>
    <t>68.55 &lt; x &lt; 76.25</t>
  </si>
  <si>
    <t>x &gt;= 76.25</t>
  </si>
  <si>
    <t>(x-68.55)/(76.25-68.55)</t>
  </si>
  <si>
    <t>68.55 &lt; x &lt;= 76.25</t>
  </si>
  <si>
    <t>(95.5-x)/(95.5-76.25)</t>
  </si>
  <si>
    <t>76.25 &lt; x &lt;= 95.5</t>
  </si>
  <si>
    <t>x &gt; 95.5 dan x &lt; 68.55</t>
  </si>
  <si>
    <t>x &lt;= 76.25</t>
  </si>
  <si>
    <t>(x-76.25)/(95.5-76.25)</t>
  </si>
  <si>
    <t>x &gt; 95.5</t>
  </si>
  <si>
    <t>x &lt;= 1010.75</t>
  </si>
  <si>
    <t>x &gt;= 1012.75</t>
  </si>
  <si>
    <t>(x-1010.75)/(1012.75-1010.75)</t>
  </si>
  <si>
    <t>1010.75&lt; x &lt;= 1012.75</t>
  </si>
  <si>
    <t>(1013.75-x)/(1013.75-1012.75)</t>
  </si>
  <si>
    <t>1010.75&lt; x &lt;= 1013.75</t>
  </si>
  <si>
    <t>x &gt; 1013.75 dan x &lt; 1010.75</t>
  </si>
  <si>
    <t>x &lt;= 1012.75</t>
  </si>
  <si>
    <t>(x-1012.75)/(1013.75-1011.75)</t>
  </si>
  <si>
    <t>1012.75 &lt; x &lt;= 1013.75</t>
  </si>
  <si>
    <t>x &gt; 1013.75</t>
  </si>
  <si>
    <t>x &lt;= 3.95</t>
  </si>
  <si>
    <t>(7.3-x)/7.3-3.95</t>
  </si>
  <si>
    <t>3.95 &lt; x &lt; 7.3</t>
  </si>
  <si>
    <t>(x-3.95)/(7.3-3.95)</t>
  </si>
  <si>
    <t>3.95 &lt; x &lt;= 7.3</t>
  </si>
  <si>
    <t>(8.2-x)/(8.2-37.3)</t>
  </si>
  <si>
    <t>7.3 &lt; x &lt;= 8.2</t>
  </si>
  <si>
    <t>x &gt; 8.2 dan x &lt; 3.95</t>
  </si>
  <si>
    <t>(x-7.3)/(8.2-7.3)</t>
  </si>
  <si>
    <t>x &gt; 8.2</t>
  </si>
  <si>
    <t>(1012.75-x)/1012.75-1010.75</t>
  </si>
  <si>
    <t>1010.75 &lt; x &lt; 1012.75</t>
  </si>
  <si>
    <t>Max (Hujan)</t>
  </si>
  <si>
    <t>Max (HujanR)</t>
  </si>
  <si>
    <t>Max (Berawan)</t>
  </si>
  <si>
    <t>HR</t>
  </si>
  <si>
    <t>Rank</t>
  </si>
  <si>
    <t>julh kromosm yg mengalami mutasi</t>
  </si>
  <si>
    <t>Bangkitkan nilai acak 1-panjang gen (dalam hal ini pajang gen = 36), oleh karna itu bangkitkan nilai acak antara 1-36</t>
  </si>
  <si>
    <t>Bangkitkan nilai acak r</t>
  </si>
  <si>
    <t>r1</t>
  </si>
  <si>
    <t>r2</t>
  </si>
  <si>
    <t>r3</t>
  </si>
  <si>
    <t>r4</t>
  </si>
  <si>
    <t>r5</t>
  </si>
  <si>
    <t>r6</t>
  </si>
  <si>
    <t>r7</t>
  </si>
  <si>
    <t>Misal nilai random(Rm) = 2, maka jumlah gen yang akan mengalami mutasi pada posisi ke dua</t>
  </si>
  <si>
    <t>Setelah Mutasi</t>
  </si>
  <si>
    <t>Hasil Mutasi akan Jadi Populasi baru dan kembali ke langkah menentukan nilai fitness</t>
  </si>
  <si>
    <t>Kelembaban Udara</t>
  </si>
  <si>
    <t>Cuaca</t>
  </si>
  <si>
    <t xml:space="preserve"> </t>
  </si>
  <si>
    <t>Max(cerah)</t>
  </si>
  <si>
    <t>Max(HR)</t>
  </si>
  <si>
    <t>2,6</t>
  </si>
  <si>
    <t>x &lt;= 0.89</t>
  </si>
  <si>
    <t>0.89 &lt; x &lt; 1.44</t>
  </si>
  <si>
    <t>x &gt;= 1.44</t>
  </si>
  <si>
    <t>1.44 &lt; x &lt;= 12.11</t>
  </si>
  <si>
    <t>x &gt; 12.11 dan x &lt; 1.44</t>
  </si>
  <si>
    <t>x &lt;= 1.44</t>
  </si>
  <si>
    <t>x &gt; 12.11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</si>
</sst>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"/>
  </numFmts>
  <fonts count="9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1"/>
      <charset val="2"/>
      <scheme val="minor"/>
    </font>
    <font>
      <b/>
      <sz val="11"/>
      <color theme="1"/>
      <name val="Symbol"/>
      <family val="1"/>
      <charset val="2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/>
    <xf numFmtId="0" fontId="0" fillId="4" borderId="0" xfId="0" applyFill="1"/>
    <xf numFmtId="1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5" borderId="0" xfId="0" applyFont="1" applyFill="1"/>
    <xf numFmtId="0" fontId="0" fillId="5" borderId="0" xfId="0" applyFill="1"/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left"/>
    </xf>
    <xf numFmtId="0" fontId="0" fillId="5" borderId="0" xfId="0" applyFill="1" applyAlignment="1">
      <alignment horizontal="center" vertical="center"/>
    </xf>
    <xf numFmtId="0" fontId="2" fillId="6" borderId="0" xfId="0" applyFont="1" applyFill="1"/>
    <xf numFmtId="0" fontId="2" fillId="0" borderId="0" xfId="0" applyFont="1" applyAlignment="1">
      <alignment horizontal="left"/>
    </xf>
    <xf numFmtId="0" fontId="2" fillId="0" borderId="0" xfId="0" applyFont="1"/>
    <xf numFmtId="0" fontId="0" fillId="7" borderId="0" xfId="0" applyFill="1"/>
    <xf numFmtId="0" fontId="2" fillId="7" borderId="0" xfId="0" applyFont="1" applyFill="1"/>
    <xf numFmtId="0" fontId="0" fillId="7" borderId="0" xfId="0" applyFill="1" applyAlignment="1">
      <alignment horizontal="center"/>
    </xf>
    <xf numFmtId="0" fontId="5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3" borderId="0" xfId="0" applyFill="1"/>
    <xf numFmtId="165" fontId="0" fillId="13" borderId="0" xfId="0" applyNumberFormat="1" applyFill="1" applyAlignment="1">
      <alignment horizontal="center"/>
    </xf>
    <xf numFmtId="0" fontId="0" fillId="16" borderId="1" xfId="0" applyFill="1" applyBorder="1" applyAlignment="1">
      <alignment horizontal="center"/>
    </xf>
    <xf numFmtId="0" fontId="0" fillId="9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6" fillId="0" borderId="0" xfId="0" applyFont="1" applyAlignment="1">
      <alignment horizontal="center" vertical="center"/>
    </xf>
    <xf numFmtId="0" fontId="0" fillId="16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6" borderId="0" xfId="0" applyFill="1"/>
    <xf numFmtId="0" fontId="2" fillId="16" borderId="0" xfId="0" applyFont="1" applyFill="1" applyAlignment="1">
      <alignment horizontal="left"/>
    </xf>
    <xf numFmtId="0" fontId="0" fillId="16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0" fontId="0" fillId="0" borderId="0" xfId="0" applyFill="1"/>
    <xf numFmtId="0" fontId="6" fillId="0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Fungsi</a:t>
            </a:r>
            <a:r>
              <a:rPr lang="en-US" baseline="0"/>
              <a:t> Keanggotaan Suhu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'Fungsi Keanggotaan'!$A$26:$A$48</c:f>
              <c:numCache>
                <c:formatCode>General</c:formatCode>
                <c:ptCount val="23"/>
                <c:pt idx="0">
                  <c:v>21</c:v>
                </c:pt>
                <c:pt idx="1">
                  <c:v>21.5</c:v>
                </c:pt>
                <c:pt idx="2">
                  <c:v>22</c:v>
                </c:pt>
                <c:pt idx="3">
                  <c:v>22.5</c:v>
                </c:pt>
                <c:pt idx="4">
                  <c:v>23</c:v>
                </c:pt>
                <c:pt idx="5">
                  <c:v>23.5</c:v>
                </c:pt>
                <c:pt idx="6">
                  <c:v>24</c:v>
                </c:pt>
                <c:pt idx="7">
                  <c:v>24.5</c:v>
                </c:pt>
                <c:pt idx="8">
                  <c:v>25</c:v>
                </c:pt>
                <c:pt idx="9">
                  <c:v>25.5</c:v>
                </c:pt>
                <c:pt idx="10">
                  <c:v>26</c:v>
                </c:pt>
                <c:pt idx="11">
                  <c:v>26.5</c:v>
                </c:pt>
                <c:pt idx="12">
                  <c:v>27</c:v>
                </c:pt>
                <c:pt idx="13">
                  <c:v>27.5</c:v>
                </c:pt>
                <c:pt idx="14">
                  <c:v>28</c:v>
                </c:pt>
                <c:pt idx="15">
                  <c:v>28.5</c:v>
                </c:pt>
                <c:pt idx="16">
                  <c:v>29</c:v>
                </c:pt>
                <c:pt idx="17">
                  <c:v>29.5</c:v>
                </c:pt>
                <c:pt idx="18">
                  <c:v>30</c:v>
                </c:pt>
                <c:pt idx="19">
                  <c:v>30.5</c:v>
                </c:pt>
                <c:pt idx="20">
                  <c:v>31</c:v>
                </c:pt>
                <c:pt idx="21">
                  <c:v>31.5</c:v>
                </c:pt>
                <c:pt idx="22">
                  <c:v>32</c:v>
                </c:pt>
              </c:numCache>
            </c:numRef>
          </c:cat>
          <c:val>
            <c:numRef>
              <c:f>'Fungsi Keanggotaan'!$B$26:$B$48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0.66666666666666663</c:v>
                </c:pt>
                <c:pt idx="12">
                  <c:v>0.33333333333333331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3-4B77-B8BC-D986001DA43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'Fungsi Keanggotaan'!$A$26:$A$48</c:f>
              <c:numCache>
                <c:formatCode>General</c:formatCode>
                <c:ptCount val="23"/>
                <c:pt idx="0">
                  <c:v>21</c:v>
                </c:pt>
                <c:pt idx="1">
                  <c:v>21.5</c:v>
                </c:pt>
                <c:pt idx="2">
                  <c:v>22</c:v>
                </c:pt>
                <c:pt idx="3">
                  <c:v>22.5</c:v>
                </c:pt>
                <c:pt idx="4">
                  <c:v>23</c:v>
                </c:pt>
                <c:pt idx="5">
                  <c:v>23.5</c:v>
                </c:pt>
                <c:pt idx="6">
                  <c:v>24</c:v>
                </c:pt>
                <c:pt idx="7">
                  <c:v>24.5</c:v>
                </c:pt>
                <c:pt idx="8">
                  <c:v>25</c:v>
                </c:pt>
                <c:pt idx="9">
                  <c:v>25.5</c:v>
                </c:pt>
                <c:pt idx="10">
                  <c:v>26</c:v>
                </c:pt>
                <c:pt idx="11">
                  <c:v>26.5</c:v>
                </c:pt>
                <c:pt idx="12">
                  <c:v>27</c:v>
                </c:pt>
                <c:pt idx="13">
                  <c:v>27.5</c:v>
                </c:pt>
                <c:pt idx="14">
                  <c:v>28</c:v>
                </c:pt>
                <c:pt idx="15">
                  <c:v>28.5</c:v>
                </c:pt>
                <c:pt idx="16">
                  <c:v>29</c:v>
                </c:pt>
                <c:pt idx="17">
                  <c:v>29.5</c:v>
                </c:pt>
                <c:pt idx="18">
                  <c:v>30</c:v>
                </c:pt>
                <c:pt idx="19">
                  <c:v>30.5</c:v>
                </c:pt>
                <c:pt idx="20">
                  <c:v>31</c:v>
                </c:pt>
                <c:pt idx="21">
                  <c:v>31.5</c:v>
                </c:pt>
                <c:pt idx="22">
                  <c:v>32</c:v>
                </c:pt>
              </c:numCache>
            </c:numRef>
          </c:cat>
          <c:val>
            <c:numRef>
              <c:f>'Fungsi Keanggotaan'!$C$26:$C$48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0.33333333333333331</c:v>
                </c:pt>
                <c:pt idx="12">
                  <c:v>0.66666666666666663</c:v>
                </c:pt>
                <c:pt idx="13">
                  <c:v>1</c:v>
                </c:pt>
                <c:pt idx="14">
                  <c:v>0.66666666666666663</c:v>
                </c:pt>
                <c:pt idx="15">
                  <c:v>0.33333333333333331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F3-4B77-B8BC-D986001DA43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'Fungsi Keanggotaan'!$A$26:$A$48</c:f>
              <c:numCache>
                <c:formatCode>General</c:formatCode>
                <c:ptCount val="23"/>
                <c:pt idx="0">
                  <c:v>21</c:v>
                </c:pt>
                <c:pt idx="1">
                  <c:v>21.5</c:v>
                </c:pt>
                <c:pt idx="2">
                  <c:v>22</c:v>
                </c:pt>
                <c:pt idx="3">
                  <c:v>22.5</c:v>
                </c:pt>
                <c:pt idx="4">
                  <c:v>23</c:v>
                </c:pt>
                <c:pt idx="5">
                  <c:v>23.5</c:v>
                </c:pt>
                <c:pt idx="6">
                  <c:v>24</c:v>
                </c:pt>
                <c:pt idx="7">
                  <c:v>24.5</c:v>
                </c:pt>
                <c:pt idx="8">
                  <c:v>25</c:v>
                </c:pt>
                <c:pt idx="9">
                  <c:v>25.5</c:v>
                </c:pt>
                <c:pt idx="10">
                  <c:v>26</c:v>
                </c:pt>
                <c:pt idx="11">
                  <c:v>26.5</c:v>
                </c:pt>
                <c:pt idx="12">
                  <c:v>27</c:v>
                </c:pt>
                <c:pt idx="13">
                  <c:v>27.5</c:v>
                </c:pt>
                <c:pt idx="14">
                  <c:v>28</c:v>
                </c:pt>
                <c:pt idx="15">
                  <c:v>28.5</c:v>
                </c:pt>
                <c:pt idx="16">
                  <c:v>29</c:v>
                </c:pt>
                <c:pt idx="17">
                  <c:v>29.5</c:v>
                </c:pt>
                <c:pt idx="18">
                  <c:v>30</c:v>
                </c:pt>
                <c:pt idx="19">
                  <c:v>30.5</c:v>
                </c:pt>
                <c:pt idx="20">
                  <c:v>31</c:v>
                </c:pt>
                <c:pt idx="21">
                  <c:v>31.5</c:v>
                </c:pt>
                <c:pt idx="22">
                  <c:v>32</c:v>
                </c:pt>
              </c:numCache>
            </c:numRef>
          </c:cat>
          <c:val>
            <c:numRef>
              <c:f>'Fungsi Keanggotaan'!$D$26:$D$48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0.33333333333333331</c:v>
                </c:pt>
                <c:pt idx="15">
                  <c:v>0.66666666666666663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F3-4B77-B8BC-D986001DA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8780639"/>
        <c:axId val="1487677759"/>
      </c:lineChart>
      <c:catAx>
        <c:axId val="148878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87677759"/>
        <c:crosses val="autoZero"/>
        <c:auto val="1"/>
        <c:lblAlgn val="ctr"/>
        <c:lblOffset val="100"/>
        <c:noMultiLvlLbl val="0"/>
      </c:catAx>
      <c:valAx>
        <c:axId val="148767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8878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'Fungsi Keanggotaan'!$L$80</c:f>
              <c:strCache>
                <c:ptCount val="1"/>
                <c:pt idx="0">
                  <c:v>Cerah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'Fungsi Keanggotaan'!$K$81:$K$106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'Fungsi Keanggotaan'!$L$81:$L$106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E-42A6-8AC1-08555FBE95C0}"/>
            </c:ext>
          </c:extLst>
        </c:ser>
        <c:ser>
          <c:idx val="1"/>
          <c:order val="1"/>
          <c:tx>
            <c:strRef>
              <c:f>'Fungsi Keanggotaan'!$M$80</c:f>
              <c:strCache>
                <c:ptCount val="1"/>
                <c:pt idx="0">
                  <c:v>Berawan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'Fungsi Keanggotaan'!$K$81:$K$106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'Fungsi Keanggotaan'!$M$81:$M$106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2.5000000000000001E-2</c:v>
                </c:pt>
                <c:pt idx="4">
                  <c:v>2.5000000000000001E-2</c:v>
                </c:pt>
                <c:pt idx="5">
                  <c:v>2.5000000000000001E-2</c:v>
                </c:pt>
                <c:pt idx="6">
                  <c:v>2.5000000000000001E-2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FE-42A6-8AC1-08555FBE95C0}"/>
            </c:ext>
          </c:extLst>
        </c:ser>
        <c:ser>
          <c:idx val="2"/>
          <c:order val="2"/>
          <c:tx>
            <c:strRef>
              <c:f>'Fungsi Keanggotaan'!$N$80</c:f>
              <c:strCache>
                <c:ptCount val="1"/>
                <c:pt idx="0">
                  <c:v>Hujan Ringan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'Fungsi Keanggotaan'!$K$81:$K$106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'Fungsi Keanggotaan'!$N$81:$N$106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FE-42A6-8AC1-08555FBE95C0}"/>
            </c:ext>
          </c:extLst>
        </c:ser>
        <c:ser>
          <c:idx val="3"/>
          <c:order val="3"/>
          <c:tx>
            <c:strRef>
              <c:f>'Fungsi Keanggotaan'!$O$80</c:f>
              <c:strCache>
                <c:ptCount val="1"/>
                <c:pt idx="0">
                  <c:v>Hujan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'Fungsi Keanggotaan'!$K$81:$K$106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'Fungsi Keanggotaan'!$O$81:$O$106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FE-42A6-8AC1-08555FBE9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865312"/>
        <c:axId val="1189516864"/>
      </c:lineChart>
      <c:catAx>
        <c:axId val="141786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89516864"/>
        <c:crosses val="autoZero"/>
        <c:auto val="1"/>
        <c:lblAlgn val="ctr"/>
        <c:lblOffset val="100"/>
        <c:noMultiLvlLbl val="0"/>
      </c:catAx>
      <c:valAx>
        <c:axId val="118951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1786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Fungsi Keanggotaan Output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Cerah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Kromosom1!$A$92:$A$117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Kromosom1!$B$92:$B$117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9F-49F1-93B1-DAE669B4EAEF}"/>
            </c:ext>
          </c:extLst>
        </c:ser>
        <c:ser>
          <c:idx val="1"/>
          <c:order val="1"/>
          <c:tx>
            <c:v>Berawan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Kromosom1!$A$92:$A$117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Kromosom1!$C$92:$C$117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0.16666666666666666</c:v>
                </c:pt>
                <c:pt idx="4">
                  <c:v>0.33333333333333331</c:v>
                </c:pt>
                <c:pt idx="5">
                  <c:v>0.5</c:v>
                </c:pt>
                <c:pt idx="6">
                  <c:v>0.66666666666666663</c:v>
                </c:pt>
                <c:pt idx="7">
                  <c:v>0.83333333333333337</c:v>
                </c:pt>
                <c:pt idx="8">
                  <c:v>1</c:v>
                </c:pt>
                <c:pt idx="9">
                  <c:v>0.83333333333333337</c:v>
                </c:pt>
                <c:pt idx="10">
                  <c:v>0.66666666666666663</c:v>
                </c:pt>
                <c:pt idx="11">
                  <c:v>0.5</c:v>
                </c:pt>
                <c:pt idx="12">
                  <c:v>0.33333333333333331</c:v>
                </c:pt>
                <c:pt idx="13">
                  <c:v>0.16666666666666666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9F-49F1-93B1-DAE669B4EAEF}"/>
            </c:ext>
          </c:extLst>
        </c:ser>
        <c:ser>
          <c:idx val="2"/>
          <c:order val="2"/>
          <c:tx>
            <c:v>Hujan Ringan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Kromosom1!$A$92:$A$117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Kromosom1!$D$92:$D$117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0.125</c:v>
                </c:pt>
                <c:pt idx="8">
                  <c:v>0.25</c:v>
                </c:pt>
                <c:pt idx="9">
                  <c:v>0.375</c:v>
                </c:pt>
                <c:pt idx="10">
                  <c:v>0.5</c:v>
                </c:pt>
                <c:pt idx="11">
                  <c:v>0.625</c:v>
                </c:pt>
                <c:pt idx="12">
                  <c:v>0.75</c:v>
                </c:pt>
                <c:pt idx="13">
                  <c:v>0.875</c:v>
                </c:pt>
                <c:pt idx="14">
                  <c:v>1</c:v>
                </c:pt>
                <c:pt idx="15">
                  <c:v>0.875</c:v>
                </c:pt>
                <c:pt idx="16">
                  <c:v>0.75</c:v>
                </c:pt>
                <c:pt idx="17">
                  <c:v>0.625</c:v>
                </c:pt>
                <c:pt idx="18">
                  <c:v>0.5</c:v>
                </c:pt>
                <c:pt idx="19">
                  <c:v>0.375</c:v>
                </c:pt>
                <c:pt idx="20">
                  <c:v>0.25</c:v>
                </c:pt>
                <c:pt idx="21">
                  <c:v>0.125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9F-49F1-93B1-DAE669B4EAEF}"/>
            </c:ext>
          </c:extLst>
        </c:ser>
        <c:ser>
          <c:idx val="3"/>
          <c:order val="3"/>
          <c:tx>
            <c:v>Hujan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Kromosom1!$A$92:$A$117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Kromosom1!$E$92:$E$117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0.125</c:v>
                </c:pt>
                <c:pt idx="16">
                  <c:v>0.25</c:v>
                </c:pt>
                <c:pt idx="17">
                  <c:v>0.375</c:v>
                </c:pt>
                <c:pt idx="18">
                  <c:v>0.5</c:v>
                </c:pt>
                <c:pt idx="19">
                  <c:v>0.625</c:v>
                </c:pt>
                <c:pt idx="20">
                  <c:v>0.75</c:v>
                </c:pt>
                <c:pt idx="21">
                  <c:v>0.875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9F-49F1-93B1-DAE669B4E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5711743"/>
        <c:axId val="1515363519"/>
      </c:lineChart>
      <c:catAx>
        <c:axId val="151571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15363519"/>
        <c:crosses val="autoZero"/>
        <c:auto val="1"/>
        <c:lblAlgn val="ctr"/>
        <c:lblOffset val="100"/>
        <c:noMultiLvlLbl val="0"/>
      </c:catAx>
      <c:valAx>
        <c:axId val="151536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1571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Sheet1!$A$3:$A$28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Sheet1!$B$3:$B$28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5-466A-82CA-4F30C5A8AA4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Sheet1!$A$3:$A$28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Sheet1!$C$3:$C$28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0.13600000000000001</c:v>
                </c:pt>
                <c:pt idx="4">
                  <c:v>0.13600000000000001</c:v>
                </c:pt>
                <c:pt idx="5">
                  <c:v>0.13600000000000001</c:v>
                </c:pt>
                <c:pt idx="6">
                  <c:v>0.13600000000000001</c:v>
                </c:pt>
                <c:pt idx="7">
                  <c:v>0.13600000000000001</c:v>
                </c:pt>
                <c:pt idx="8">
                  <c:v>0.13600000000000001</c:v>
                </c:pt>
                <c:pt idx="9">
                  <c:v>0.13600000000000001</c:v>
                </c:pt>
                <c:pt idx="10">
                  <c:v>0.13600000000000001</c:v>
                </c:pt>
                <c:pt idx="11">
                  <c:v>0.13600000000000001</c:v>
                </c:pt>
                <c:pt idx="12">
                  <c:v>0.13600000000000001</c:v>
                </c:pt>
                <c:pt idx="13">
                  <c:v>0.13600000000000001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5-466A-82CA-4F30C5A8AA4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Sheet1!$A$3:$A$28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Sheet1!$D$3:$D$28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75-466A-82CA-4F30C5A8AA4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Sheet1!$A$3:$A$28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Sheet1!$E$3:$E$28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0.125</c:v>
                </c:pt>
                <c:pt idx="16">
                  <c:v>0.25</c:v>
                </c:pt>
                <c:pt idx="17">
                  <c:v>0.375</c:v>
                </c:pt>
                <c:pt idx="18">
                  <c:v>0.5</c:v>
                </c:pt>
                <c:pt idx="19">
                  <c:v>0.505</c:v>
                </c:pt>
                <c:pt idx="20">
                  <c:v>0.505</c:v>
                </c:pt>
                <c:pt idx="21">
                  <c:v>0.505</c:v>
                </c:pt>
                <c:pt idx="22">
                  <c:v>0.505</c:v>
                </c:pt>
                <c:pt idx="23">
                  <c:v>0.505</c:v>
                </c:pt>
                <c:pt idx="24">
                  <c:v>0.505</c:v>
                </c:pt>
                <c:pt idx="25">
                  <c:v>0.505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75-466A-82CA-4F30C5A8A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4519359"/>
        <c:axId val="1791032927"/>
      </c:lineChart>
      <c:catAx>
        <c:axId val="179451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91032927"/>
        <c:crosses val="autoZero"/>
        <c:auto val="1"/>
        <c:lblAlgn val="ctr"/>
        <c:lblOffset val="100"/>
        <c:noMultiLvlLbl val="0"/>
      </c:catAx>
      <c:valAx>
        <c:axId val="1791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9451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Sheet1!$A$3:$A$28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Sheet1!$B$3:$B$28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7-46A5-A537-5B8970C8C0B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Sheet1!$A$3:$A$28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Sheet1!$C$3:$C$28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0.13600000000000001</c:v>
                </c:pt>
                <c:pt idx="4">
                  <c:v>0.13600000000000001</c:v>
                </c:pt>
                <c:pt idx="5">
                  <c:v>0.13600000000000001</c:v>
                </c:pt>
                <c:pt idx="6">
                  <c:v>0.13600000000000001</c:v>
                </c:pt>
                <c:pt idx="7">
                  <c:v>0.13600000000000001</c:v>
                </c:pt>
                <c:pt idx="8">
                  <c:v>0.13600000000000001</c:v>
                </c:pt>
                <c:pt idx="9">
                  <c:v>0.13600000000000001</c:v>
                </c:pt>
                <c:pt idx="10">
                  <c:v>0.13600000000000001</c:v>
                </c:pt>
                <c:pt idx="11">
                  <c:v>0.13600000000000001</c:v>
                </c:pt>
                <c:pt idx="12">
                  <c:v>0.13600000000000001</c:v>
                </c:pt>
                <c:pt idx="13">
                  <c:v>0.13600000000000001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7-46A5-A537-5B8970C8C0B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Sheet1!$A$3:$A$28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Sheet1!$D$3:$D$28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C7-46A5-A537-5B8970C8C0B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Sheet1!$A$3:$A$28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Sheet1!$E$3:$E$28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0.125</c:v>
                </c:pt>
                <c:pt idx="16">
                  <c:v>0.25</c:v>
                </c:pt>
                <c:pt idx="17">
                  <c:v>0.375</c:v>
                </c:pt>
                <c:pt idx="18">
                  <c:v>0.5</c:v>
                </c:pt>
                <c:pt idx="19">
                  <c:v>0.505</c:v>
                </c:pt>
                <c:pt idx="20">
                  <c:v>0.505</c:v>
                </c:pt>
                <c:pt idx="21">
                  <c:v>0.505</c:v>
                </c:pt>
                <c:pt idx="22">
                  <c:v>0.505</c:v>
                </c:pt>
                <c:pt idx="23">
                  <c:v>0.505</c:v>
                </c:pt>
                <c:pt idx="24">
                  <c:v>0.505</c:v>
                </c:pt>
                <c:pt idx="25">
                  <c:v>0.505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C7-46A5-A537-5B8970C8C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4519359"/>
        <c:axId val="1791032927"/>
      </c:lineChart>
      <c:catAx>
        <c:axId val="179451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91032927"/>
        <c:crosses val="autoZero"/>
        <c:auto val="1"/>
        <c:lblAlgn val="ctr"/>
        <c:lblOffset val="100"/>
        <c:noMultiLvlLbl val="0"/>
      </c:catAx>
      <c:valAx>
        <c:axId val="179103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79451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Data1!$A$50:$A$75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Data1!$B$50:$B$75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0.16666666666666666</c:v>
                </c:pt>
                <c:pt idx="4">
                  <c:v>0.33333333333333331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0.33333333333333331</c:v>
                </c:pt>
                <c:pt idx="13">
                  <c:v>0.16666666666666666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1-4A1E-9883-8BC304B57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589871"/>
        <c:axId val="1269706255"/>
      </c:areaChart>
      <c:catAx>
        <c:axId val="1474589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69706255"/>
        <c:crosses val="autoZero"/>
        <c:auto val="1"/>
        <c:lblAlgn val="ctr"/>
        <c:lblOffset val="100"/>
        <c:noMultiLvlLbl val="0"/>
      </c:catAx>
      <c:valAx>
        <c:axId val="126970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7458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1100022</xdr:colOff>
      <xdr:row>30</xdr:row>
      <xdr:rowOff>33918</xdr:rowOff>
    </xdr:from>
    <xdr:to>
      <xdr:col>6</xdr:col>
      <xdr:colOff>549430</xdr:colOff>
      <xdr:row>44</xdr:row>
      <xdr:rowOff>175167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4D5BE8-4CC2-4E31-8FB4-CD955DE68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246256</xdr:colOff>
      <xdr:row>98</xdr:row>
      <xdr:rowOff>51340</xdr:rowOff>
    </xdr:from>
    <xdr:to>
      <xdr:col>11</xdr:col>
      <xdr:colOff>1324207</xdr:colOff>
      <xdr:row>110</xdr:row>
      <xdr:rowOff>139390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AB60FF-06D4-4CB1-8797-D4123D4C1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9526</xdr:colOff>
      <xdr:row>56</xdr:row>
      <xdr:rowOff>28575</xdr:rowOff>
    </xdr:from>
    <xdr:to>
      <xdr:col>7</xdr:col>
      <xdr:colOff>19050</xdr:colOff>
      <xdr:row>60</xdr:row>
      <xdr:rowOff>104775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8D3B5B5-D9F4-4346-A272-75898C72F158}"/>
            </a:ext>
          </a:extLst>
        </xdr:cNvPr>
        <xdr:cNvCxnSpPr/>
      </xdr:nvCxnSpPr>
      <xdr:spPr>
        <a:xfrm flipH="1">
          <a:off x="4276726" y="14316075"/>
          <a:ext cx="9524" cy="8382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520273</xdr:colOff>
      <xdr:row>210</xdr:row>
      <xdr:rowOff>16009</xdr:rowOff>
    </xdr:from>
    <xdr:to>
      <xdr:col>3</xdr:col>
      <xdr:colOff>126786</xdr:colOff>
      <xdr:row>212</xdr:row>
      <xdr:rowOff>73159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832ECF-769E-40B9-A6FD-76602DE7C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7647" y="36387101"/>
          <a:ext cx="1295400" cy="4413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666749</xdr:colOff>
      <xdr:row>2</xdr:row>
      <xdr:rowOff>107156</xdr:rowOff>
    </xdr:from>
    <xdr:to>
      <xdr:col>3</xdr:col>
      <xdr:colOff>1502683</xdr:colOff>
      <xdr:row>12</xdr:row>
      <xdr:rowOff>190499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8A97F8-345A-478E-971D-661537102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9" y="488156"/>
          <a:ext cx="5145997" cy="1988343"/>
        </a:xfrm>
        <a:prstGeom prst="rect">
          <a:avLst/>
        </a:prstGeom>
      </xdr:spPr>
    </xdr:pic>
    <xdr:clientData/>
  </xdr:twoCellAnchor>
  <xdr:twoCellAnchor>
    <xdr:from>
      <xdr:col>4</xdr:col>
      <xdr:colOff>982266</xdr:colOff>
      <xdr:row>0</xdr:row>
      <xdr:rowOff>45245</xdr:rowOff>
    </xdr:from>
    <xdr:to>
      <xdr:col>8</xdr:col>
      <xdr:colOff>220266</xdr:colOff>
      <xdr:row>14</xdr:row>
      <xdr:rowOff>121445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7E75A8-90B9-4B54-BE10-50CC864AA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1524000</xdr:colOff>
      <xdr:row>31</xdr:row>
      <xdr:rowOff>202407</xdr:rowOff>
    </xdr:from>
    <xdr:to>
      <xdr:col>5</xdr:col>
      <xdr:colOff>523875</xdr:colOff>
      <xdr:row>36</xdr:row>
      <xdr:rowOff>130969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C80A14-88D9-48C9-B692-8BCB7BD87A08}"/>
            </a:ext>
          </a:extLst>
        </xdr:cNvPr>
        <xdr:cNvSpPr/>
      </xdr:nvSpPr>
      <xdr:spPr>
        <a:xfrm>
          <a:off x="2536031" y="6274595"/>
          <a:ext cx="4845844" cy="1071562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Fuzzifikasi merupakan suatu proses dimana nilai input sistem yang berbentuk nilai tegas diubah menjadi variabel linguistik dengan menggunakan fungsi keanggotaan yang disimpan dalam basis pengetahuan </a:t>
          </a:r>
          <a:r>
            <a:rPr lang="en-US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fuzzy</a:t>
          </a:r>
          <a:endParaRPr lang="id-ID" sz="1400"/>
        </a:p>
      </xdr:txBody>
    </xdr:sp>
    <xdr:clientData/>
  </xdr:twoCellAnchor>
  <xdr:twoCellAnchor>
    <xdr:from>
      <xdr:col>6</xdr:col>
      <xdr:colOff>571499</xdr:colOff>
      <xdr:row>48</xdr:row>
      <xdr:rowOff>166688</xdr:rowOff>
    </xdr:from>
    <xdr:to>
      <xdr:col>9</xdr:col>
      <xdr:colOff>1107280</xdr:colOff>
      <xdr:row>54</xdr:row>
      <xdr:rowOff>95250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13FF995-E846-4A56-9199-C0B8D0676A4D}"/>
            </a:ext>
          </a:extLst>
        </xdr:cNvPr>
        <xdr:cNvSpPr/>
      </xdr:nvSpPr>
      <xdr:spPr>
        <a:xfrm>
          <a:off x="8822530" y="10810876"/>
          <a:ext cx="5369719" cy="1071562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Implikasi -&gt; Pada tahapan ini dilakukan penyusun aturan-aturan yang menyatakan hubungan antara variabel input dengan variabel output.  Pada metode fuzzy mamdani, fungsi implikasi yang digunakan adalah </a:t>
          </a:r>
          <a:r>
            <a:rPr lang="en-US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dimana fungsi ini akan digunakan untuk melakukan pencarian nilai terkecil dari derajat keanggotaan pada setiap aturan yang telah dibuat</a:t>
          </a:r>
          <a:endParaRPr lang="id-ID" sz="1400"/>
        </a:p>
      </xdr:txBody>
    </xdr:sp>
    <xdr:clientData/>
  </xdr:twoCellAnchor>
  <xdr:twoCellAnchor>
    <xdr:from>
      <xdr:col>2</xdr:col>
      <xdr:colOff>678656</xdr:colOff>
      <xdr:row>84</xdr:row>
      <xdr:rowOff>83344</xdr:rowOff>
    </xdr:from>
    <xdr:to>
      <xdr:col>6</xdr:col>
      <xdr:colOff>416719</xdr:colOff>
      <xdr:row>90</xdr:row>
      <xdr:rowOff>11906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16905DB-74CA-47E2-BE4F-9CEC09167586}"/>
            </a:ext>
          </a:extLst>
        </xdr:cNvPr>
        <xdr:cNvSpPr/>
      </xdr:nvSpPr>
      <xdr:spPr>
        <a:xfrm>
          <a:off x="3298031" y="16442532"/>
          <a:ext cx="5369719" cy="1071562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Komposisi aturan diperoleh dari kumpulan aturan apabila sistem terdiri dari beberapa aturan. Pada Metode </a:t>
          </a:r>
          <a:r>
            <a:rPr lang="en-US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solusi himpunan</a:t>
          </a:r>
          <a:r>
            <a:rPr lang="en-US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fuzzy 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diperoleh dengan cara mengambil nilai maksimum dari aturan yang mempunyai kriteria sama pada setiap variabel </a:t>
          </a:r>
          <a:r>
            <a:rPr lang="en-US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id-ID" sz="1400"/>
        </a:p>
      </xdr:txBody>
    </xdr:sp>
    <xdr:clientData/>
  </xdr:twoCellAnchor>
  <xdr:twoCellAnchor>
    <xdr:from>
      <xdr:col>2</xdr:col>
      <xdr:colOff>750094</xdr:colOff>
      <xdr:row>120</xdr:row>
      <xdr:rowOff>11906</xdr:rowOff>
    </xdr:from>
    <xdr:to>
      <xdr:col>6</xdr:col>
      <xdr:colOff>488157</xdr:colOff>
      <xdr:row>125</xdr:row>
      <xdr:rowOff>130968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910A303-85C1-418C-89B4-9557BB289841}"/>
            </a:ext>
          </a:extLst>
        </xdr:cNvPr>
        <xdr:cNvSpPr/>
      </xdr:nvSpPr>
      <xdr:spPr>
        <a:xfrm>
          <a:off x="3369469" y="23229094"/>
          <a:ext cx="5369719" cy="1071562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Deffuzifikasi adalah tahap akhir dalam perhitungan menggunakan metode mamdani, dimana pada proses deffuzifikasi ini akan dihasilkan </a:t>
          </a:r>
          <a:r>
            <a:rPr lang="en-US" sz="14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output</a:t>
          </a:r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nilai dari daerah kesimpulan baru yang telah terbentuk hasil proses komposisi aturan  </a:t>
          </a:r>
          <a:endParaRPr lang="id-ID" sz="1400"/>
        </a:p>
      </xdr:txBody>
    </xdr:sp>
    <xdr:clientData/>
  </xdr:twoCellAnchor>
  <xdr:twoCellAnchor>
    <xdr:from>
      <xdr:col>6</xdr:col>
      <xdr:colOff>642939</xdr:colOff>
      <xdr:row>68</xdr:row>
      <xdr:rowOff>11908</xdr:rowOff>
    </xdr:from>
    <xdr:to>
      <xdr:col>9</xdr:col>
      <xdr:colOff>381001</xdr:colOff>
      <xdr:row>82</xdr:row>
      <xdr:rowOff>88108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1518F80-F5BC-4C5D-B51E-2E3AF2B82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9</xdr:row>
      <xdr:rowOff>180975</xdr:rowOff>
    </xdr:from>
    <xdr:to>
      <xdr:col>16</xdr:col>
      <xdr:colOff>104775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D4C96-F4C4-48F3-A8DB-B94A3AD3E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921568</xdr:colOff>
      <xdr:row>47</xdr:row>
      <xdr:rowOff>169847</xdr:rowOff>
    </xdr:from>
    <xdr:to>
      <xdr:col>8</xdr:col>
      <xdr:colOff>152778</xdr:colOff>
      <xdr:row>62</xdr:row>
      <xdr:rowOff>57433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F8F26C-AF40-405C-B5F8-146D691C3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opLeftCell="A2" workbookViewId="0">
      <selection activeCell="A87" sqref="A87:E108"/>
    </sheetView>
  </sheetViews>
  <sheetFormatPr defaultRowHeight="15"/>
  <cols>
    <col min="2" max="2" width="10.7109375" customWidth="1"/>
    <col min="3" max="3" width="11.28515625" customWidth="1"/>
    <col min="4" max="4" width="11.42578125" customWidth="1"/>
    <col min="5" max="5" width="12.5703125" customWidth="1"/>
  </cols>
  <sheetData>
    <row r="1" spans="1:6" ht="33.75">
      <c r="A1" s="4" t="s">
        <v>0</v>
      </c>
      <c r="B1" s="5"/>
    </row>
    <row r="3" spans="1: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>
      <c r="A4" s="2">
        <v>1</v>
      </c>
      <c r="B4" s="2" t="s">
        <v>7</v>
      </c>
      <c r="C4" s="2" t="s">
        <v>10</v>
      </c>
      <c r="D4" s="2" t="s">
        <v>13</v>
      </c>
      <c r="E4" s="2" t="s">
        <v>16</v>
      </c>
      <c r="F4" s="2" t="s">
        <v>20</v>
      </c>
    </row>
    <row r="5" spans="1:6">
      <c r="A5" s="2">
        <v>2</v>
      </c>
      <c r="B5" s="2" t="s">
        <v>7</v>
      </c>
      <c r="C5" s="2" t="s">
        <v>10</v>
      </c>
      <c r="D5" s="2" t="s">
        <v>13</v>
      </c>
      <c r="E5" s="2" t="s">
        <v>17</v>
      </c>
      <c r="F5" s="2" t="s">
        <v>20</v>
      </c>
    </row>
    <row r="6" spans="1:6">
      <c r="A6" s="2">
        <v>3</v>
      </c>
      <c r="B6" s="2" t="s">
        <v>7</v>
      </c>
      <c r="C6" s="2" t="s">
        <v>10</v>
      </c>
      <c r="D6" s="2" t="s">
        <v>13</v>
      </c>
      <c r="E6" s="2" t="s">
        <v>18</v>
      </c>
      <c r="F6" s="2" t="s">
        <v>20</v>
      </c>
    </row>
    <row r="7" spans="1:6">
      <c r="A7" s="2">
        <v>4</v>
      </c>
      <c r="B7" s="2" t="s">
        <v>7</v>
      </c>
      <c r="C7" s="2" t="s">
        <v>10</v>
      </c>
      <c r="D7" s="2" t="s">
        <v>14</v>
      </c>
      <c r="E7" s="2" t="s">
        <v>16</v>
      </c>
      <c r="F7" s="2" t="s">
        <v>20</v>
      </c>
    </row>
    <row r="8" spans="1:6">
      <c r="A8" s="2">
        <v>5</v>
      </c>
      <c r="B8" s="2" t="s">
        <v>7</v>
      </c>
      <c r="C8" s="2" t="s">
        <v>10</v>
      </c>
      <c r="D8" s="2" t="s">
        <v>14</v>
      </c>
      <c r="E8" s="2" t="s">
        <v>17</v>
      </c>
      <c r="F8" s="2" t="s">
        <v>20</v>
      </c>
    </row>
    <row r="9" spans="1:6">
      <c r="A9" s="2">
        <v>6</v>
      </c>
      <c r="B9" s="2" t="s">
        <v>7</v>
      </c>
      <c r="C9" s="2" t="s">
        <v>10</v>
      </c>
      <c r="D9" s="2" t="s">
        <v>14</v>
      </c>
      <c r="E9" s="2" t="s">
        <v>18</v>
      </c>
      <c r="F9" s="2" t="s">
        <v>20</v>
      </c>
    </row>
    <row r="10" spans="1:6">
      <c r="A10" s="2">
        <v>7</v>
      </c>
      <c r="B10" s="2" t="s">
        <v>7</v>
      </c>
      <c r="C10" s="2" t="s">
        <v>10</v>
      </c>
      <c r="D10" s="2" t="s">
        <v>15</v>
      </c>
      <c r="E10" s="2" t="s">
        <v>16</v>
      </c>
      <c r="F10" s="2" t="s">
        <v>20</v>
      </c>
    </row>
    <row r="11" spans="1:6">
      <c r="A11" s="2">
        <v>8</v>
      </c>
      <c r="B11" s="2" t="s">
        <v>7</v>
      </c>
      <c r="C11" s="2" t="s">
        <v>10</v>
      </c>
      <c r="D11" s="2" t="s">
        <v>15</v>
      </c>
      <c r="E11" s="2" t="s">
        <v>17</v>
      </c>
      <c r="F11" s="2" t="s">
        <v>20</v>
      </c>
    </row>
    <row r="12" spans="1:6">
      <c r="A12" s="2">
        <v>9</v>
      </c>
      <c r="B12" s="2" t="s">
        <v>7</v>
      </c>
      <c r="C12" s="2" t="s">
        <v>10</v>
      </c>
      <c r="D12" s="2" t="s">
        <v>15</v>
      </c>
      <c r="E12" s="2" t="s">
        <v>18</v>
      </c>
      <c r="F12" s="2" t="s">
        <v>19</v>
      </c>
    </row>
    <row r="13" spans="1:6">
      <c r="A13" s="2">
        <v>10</v>
      </c>
      <c r="B13" s="2" t="s">
        <v>7</v>
      </c>
      <c r="C13" s="2" t="s">
        <v>11</v>
      </c>
      <c r="D13" s="2" t="s">
        <v>13</v>
      </c>
      <c r="E13" s="2" t="s">
        <v>16</v>
      </c>
      <c r="F13" s="2" t="s">
        <v>20</v>
      </c>
    </row>
    <row r="14" spans="1:6">
      <c r="A14" s="2">
        <v>11</v>
      </c>
      <c r="B14" s="2" t="s">
        <v>7</v>
      </c>
      <c r="C14" s="2" t="s">
        <v>11</v>
      </c>
      <c r="D14" s="2" t="s">
        <v>13</v>
      </c>
      <c r="E14" s="2" t="s">
        <v>17</v>
      </c>
      <c r="F14" s="2" t="s">
        <v>20</v>
      </c>
    </row>
    <row r="15" spans="1:6">
      <c r="A15" s="2">
        <v>12</v>
      </c>
      <c r="B15" s="2" t="s">
        <v>7</v>
      </c>
      <c r="C15" s="2" t="s">
        <v>11</v>
      </c>
      <c r="D15" s="2" t="s">
        <v>13</v>
      </c>
      <c r="E15" s="2" t="s">
        <v>18</v>
      </c>
      <c r="F15" s="2" t="s">
        <v>20</v>
      </c>
    </row>
    <row r="16" spans="1:6">
      <c r="A16" s="2">
        <v>13</v>
      </c>
      <c r="B16" s="2" t="s">
        <v>7</v>
      </c>
      <c r="C16" s="2" t="s">
        <v>11</v>
      </c>
      <c r="D16" s="2" t="s">
        <v>14</v>
      </c>
      <c r="E16" s="2" t="s">
        <v>16</v>
      </c>
      <c r="F16" s="2" t="s">
        <v>20</v>
      </c>
    </row>
    <row r="17" spans="1:6">
      <c r="A17" s="2">
        <v>14</v>
      </c>
      <c r="B17" s="2" t="s">
        <v>7</v>
      </c>
      <c r="C17" s="2" t="s">
        <v>11</v>
      </c>
      <c r="D17" s="2" t="s">
        <v>14</v>
      </c>
      <c r="E17" s="2" t="s">
        <v>17</v>
      </c>
      <c r="F17" s="2" t="s">
        <v>21</v>
      </c>
    </row>
    <row r="18" spans="1:6">
      <c r="A18" s="2">
        <v>15</v>
      </c>
      <c r="B18" s="2" t="s">
        <v>7</v>
      </c>
      <c r="C18" s="2" t="s">
        <v>11</v>
      </c>
      <c r="D18" s="2" t="s">
        <v>14</v>
      </c>
      <c r="E18" s="2" t="s">
        <v>18</v>
      </c>
      <c r="F18" s="2" t="s">
        <v>21</v>
      </c>
    </row>
    <row r="19" spans="1:6">
      <c r="A19" s="2">
        <v>16</v>
      </c>
      <c r="B19" s="2" t="s">
        <v>7</v>
      </c>
      <c r="C19" s="2" t="s">
        <v>11</v>
      </c>
      <c r="D19" s="2" t="s">
        <v>15</v>
      </c>
      <c r="E19" s="2" t="s">
        <v>16</v>
      </c>
      <c r="F19" s="2" t="s">
        <v>20</v>
      </c>
    </row>
    <row r="20" spans="1:6">
      <c r="A20" s="2">
        <v>17</v>
      </c>
      <c r="B20" s="2" t="s">
        <v>7</v>
      </c>
      <c r="C20" s="2" t="s">
        <v>11</v>
      </c>
      <c r="D20" s="2" t="s">
        <v>15</v>
      </c>
      <c r="E20" s="2" t="s">
        <v>17</v>
      </c>
      <c r="F20" s="2" t="s">
        <v>21</v>
      </c>
    </row>
    <row r="21" spans="1:6">
      <c r="A21" s="2">
        <v>18</v>
      </c>
      <c r="B21" s="2" t="s">
        <v>7</v>
      </c>
      <c r="C21" s="2" t="s">
        <v>11</v>
      </c>
      <c r="D21" s="2" t="s">
        <v>15</v>
      </c>
      <c r="E21" s="2" t="s">
        <v>18</v>
      </c>
      <c r="F21" s="2" t="s">
        <v>19</v>
      </c>
    </row>
    <row r="22" spans="1:6">
      <c r="A22" s="2">
        <v>19</v>
      </c>
      <c r="B22" s="2" t="s">
        <v>7</v>
      </c>
      <c r="C22" s="2" t="s">
        <v>12</v>
      </c>
      <c r="D22" s="2" t="s">
        <v>13</v>
      </c>
      <c r="E22" s="2" t="s">
        <v>16</v>
      </c>
      <c r="F22" s="2" t="s">
        <v>20</v>
      </c>
    </row>
    <row r="23" spans="1:6">
      <c r="A23" s="2">
        <v>20</v>
      </c>
      <c r="B23" s="2" t="s">
        <v>7</v>
      </c>
      <c r="C23" s="2" t="s">
        <v>12</v>
      </c>
      <c r="D23" s="2" t="s">
        <v>13</v>
      </c>
      <c r="E23" s="2" t="s">
        <v>17</v>
      </c>
      <c r="F23" s="2" t="s">
        <v>19</v>
      </c>
    </row>
    <row r="24" spans="1:6">
      <c r="A24" s="2">
        <v>21</v>
      </c>
      <c r="B24" s="2" t="s">
        <v>7</v>
      </c>
      <c r="C24" s="2" t="s">
        <v>12</v>
      </c>
      <c r="D24" s="2" t="s">
        <v>13</v>
      </c>
      <c r="E24" s="2" t="s">
        <v>18</v>
      </c>
      <c r="F24" s="2" t="s">
        <v>19</v>
      </c>
    </row>
    <row r="25" spans="1:6">
      <c r="A25" s="2">
        <v>22</v>
      </c>
      <c r="B25" s="2" t="s">
        <v>7</v>
      </c>
      <c r="C25" s="2" t="s">
        <v>12</v>
      </c>
      <c r="D25" s="2" t="s">
        <v>14</v>
      </c>
      <c r="E25" s="2" t="s">
        <v>16</v>
      </c>
      <c r="F25" s="2" t="s">
        <v>19</v>
      </c>
    </row>
    <row r="26" spans="1:6">
      <c r="A26" s="2">
        <v>23</v>
      </c>
      <c r="B26" s="2" t="s">
        <v>7</v>
      </c>
      <c r="C26" s="2" t="s">
        <v>12</v>
      </c>
      <c r="D26" s="2" t="s">
        <v>14</v>
      </c>
      <c r="E26" s="2" t="s">
        <v>17</v>
      </c>
      <c r="F26" s="2" t="s">
        <v>21</v>
      </c>
    </row>
    <row r="27" spans="1:6">
      <c r="A27" s="2">
        <v>24</v>
      </c>
      <c r="B27" s="2" t="s">
        <v>7</v>
      </c>
      <c r="C27" s="2" t="s">
        <v>12</v>
      </c>
      <c r="D27" s="2" t="s">
        <v>14</v>
      </c>
      <c r="E27" s="2" t="s">
        <v>18</v>
      </c>
      <c r="F27" s="2" t="s">
        <v>22</v>
      </c>
    </row>
    <row r="28" spans="1:6">
      <c r="A28" s="2">
        <v>25</v>
      </c>
      <c r="B28" s="2" t="s">
        <v>7</v>
      </c>
      <c r="C28" s="2" t="s">
        <v>12</v>
      </c>
      <c r="D28" s="2" t="s">
        <v>15</v>
      </c>
      <c r="E28" s="2" t="s">
        <v>16</v>
      </c>
      <c r="F28" s="2" t="s">
        <v>19</v>
      </c>
    </row>
    <row r="29" spans="1:6">
      <c r="A29" s="2">
        <v>26</v>
      </c>
      <c r="B29" s="2" t="s">
        <v>7</v>
      </c>
      <c r="C29" s="2" t="s">
        <v>12</v>
      </c>
      <c r="D29" s="2" t="s">
        <v>15</v>
      </c>
      <c r="E29" s="2" t="s">
        <v>17</v>
      </c>
      <c r="F29" s="2" t="s">
        <v>19</v>
      </c>
    </row>
    <row r="30" spans="1:6">
      <c r="A30" s="2">
        <v>27</v>
      </c>
      <c r="B30" s="2" t="s">
        <v>7</v>
      </c>
      <c r="C30" s="2" t="s">
        <v>12</v>
      </c>
      <c r="D30" s="2" t="s">
        <v>15</v>
      </c>
      <c r="E30" s="2" t="s">
        <v>18</v>
      </c>
      <c r="F30" s="2" t="s">
        <v>22</v>
      </c>
    </row>
    <row r="31" spans="1:6">
      <c r="A31" s="2">
        <v>28</v>
      </c>
      <c r="B31" s="2" t="s">
        <v>8</v>
      </c>
      <c r="C31" s="2" t="s">
        <v>10</v>
      </c>
      <c r="D31" s="2" t="s">
        <v>13</v>
      </c>
      <c r="E31" s="2" t="s">
        <v>16</v>
      </c>
      <c r="F31" s="2" t="s">
        <v>20</v>
      </c>
    </row>
    <row r="32" spans="1:6">
      <c r="A32" s="2">
        <v>29</v>
      </c>
      <c r="B32" s="2" t="s">
        <v>8</v>
      </c>
      <c r="C32" s="2" t="s">
        <v>10</v>
      </c>
      <c r="D32" s="2" t="s">
        <v>13</v>
      </c>
      <c r="E32" s="2" t="s">
        <v>17</v>
      </c>
      <c r="F32" s="2" t="s">
        <v>20</v>
      </c>
    </row>
    <row r="33" spans="1:6">
      <c r="A33" s="2">
        <v>30</v>
      </c>
      <c r="B33" s="2" t="s">
        <v>8</v>
      </c>
      <c r="C33" s="2" t="s">
        <v>10</v>
      </c>
      <c r="D33" s="2" t="s">
        <v>13</v>
      </c>
      <c r="E33" s="2" t="s">
        <v>18</v>
      </c>
      <c r="F33" s="2" t="s">
        <v>19</v>
      </c>
    </row>
    <row r="34" spans="1:6">
      <c r="A34" s="2">
        <v>31</v>
      </c>
      <c r="B34" s="2" t="s">
        <v>8</v>
      </c>
      <c r="C34" s="2" t="s">
        <v>10</v>
      </c>
      <c r="D34" s="2" t="s">
        <v>14</v>
      </c>
      <c r="E34" s="2" t="s">
        <v>16</v>
      </c>
      <c r="F34" s="2" t="s">
        <v>20</v>
      </c>
    </row>
    <row r="35" spans="1:6">
      <c r="A35" s="2">
        <v>32</v>
      </c>
      <c r="B35" s="2" t="s">
        <v>8</v>
      </c>
      <c r="C35" s="2" t="s">
        <v>10</v>
      </c>
      <c r="D35" s="2" t="s">
        <v>14</v>
      </c>
      <c r="E35" s="2" t="s">
        <v>17</v>
      </c>
      <c r="F35" s="2" t="s">
        <v>21</v>
      </c>
    </row>
    <row r="36" spans="1:6">
      <c r="A36" s="2">
        <v>33</v>
      </c>
      <c r="B36" s="2" t="s">
        <v>8</v>
      </c>
      <c r="C36" s="2" t="s">
        <v>10</v>
      </c>
      <c r="D36" s="2" t="s">
        <v>14</v>
      </c>
      <c r="E36" s="2" t="s">
        <v>18</v>
      </c>
      <c r="F36" s="2" t="s">
        <v>21</v>
      </c>
    </row>
    <row r="37" spans="1:6">
      <c r="A37" s="2">
        <v>34</v>
      </c>
      <c r="B37" s="2" t="s">
        <v>8</v>
      </c>
      <c r="C37" s="2" t="s">
        <v>10</v>
      </c>
      <c r="D37" s="2" t="s">
        <v>15</v>
      </c>
      <c r="E37" s="2" t="s">
        <v>16</v>
      </c>
      <c r="F37" s="2" t="s">
        <v>19</v>
      </c>
    </row>
    <row r="38" spans="1:6">
      <c r="A38" s="2">
        <v>35</v>
      </c>
      <c r="B38" s="2" t="s">
        <v>8</v>
      </c>
      <c r="C38" s="2" t="s">
        <v>10</v>
      </c>
      <c r="D38" s="2" t="s">
        <v>15</v>
      </c>
      <c r="E38" s="2" t="s">
        <v>17</v>
      </c>
      <c r="F38" s="2" t="s">
        <v>21</v>
      </c>
    </row>
    <row r="39" spans="1:6">
      <c r="A39" s="2">
        <v>36</v>
      </c>
      <c r="B39" s="2" t="s">
        <v>8</v>
      </c>
      <c r="C39" s="2" t="s">
        <v>10</v>
      </c>
      <c r="D39" s="2" t="s">
        <v>15</v>
      </c>
      <c r="E39" s="2" t="s">
        <v>18</v>
      </c>
      <c r="F39" s="2" t="s">
        <v>22</v>
      </c>
    </row>
    <row r="40" spans="1:6">
      <c r="A40" s="2">
        <v>37</v>
      </c>
      <c r="B40" s="2" t="s">
        <v>8</v>
      </c>
      <c r="C40" s="2" t="s">
        <v>11</v>
      </c>
      <c r="D40" s="2" t="s">
        <v>13</v>
      </c>
      <c r="E40" s="2" t="s">
        <v>16</v>
      </c>
      <c r="F40" s="2" t="s">
        <v>20</v>
      </c>
    </row>
    <row r="41" spans="1:6">
      <c r="A41" s="2">
        <v>38</v>
      </c>
      <c r="B41" s="2" t="s">
        <v>8</v>
      </c>
      <c r="C41" s="2" t="s">
        <v>11</v>
      </c>
      <c r="D41" s="2" t="s">
        <v>13</v>
      </c>
      <c r="E41" s="2" t="s">
        <v>17</v>
      </c>
      <c r="F41" s="2" t="s">
        <v>19</v>
      </c>
    </row>
    <row r="42" spans="1:6">
      <c r="A42" s="2">
        <v>39</v>
      </c>
      <c r="B42" s="2" t="s">
        <v>8</v>
      </c>
      <c r="C42" s="2" t="s">
        <v>11</v>
      </c>
      <c r="D42" s="2" t="s">
        <v>13</v>
      </c>
      <c r="E42" s="2" t="s">
        <v>18</v>
      </c>
      <c r="F42" s="2" t="s">
        <v>21</v>
      </c>
    </row>
    <row r="43" spans="1:6">
      <c r="A43" s="2">
        <v>40</v>
      </c>
      <c r="B43" s="2" t="s">
        <v>8</v>
      </c>
      <c r="C43" s="2" t="s">
        <v>11</v>
      </c>
      <c r="D43" s="2" t="s">
        <v>14</v>
      </c>
      <c r="E43" s="2" t="s">
        <v>16</v>
      </c>
      <c r="F43" s="2" t="s">
        <v>21</v>
      </c>
    </row>
    <row r="44" spans="1:6">
      <c r="A44" s="2">
        <v>41</v>
      </c>
      <c r="B44" s="2" t="s">
        <v>8</v>
      </c>
      <c r="C44" s="2" t="s">
        <v>11</v>
      </c>
      <c r="D44" s="2" t="s">
        <v>14</v>
      </c>
      <c r="E44" s="2" t="s">
        <v>17</v>
      </c>
      <c r="F44" s="2" t="s">
        <v>21</v>
      </c>
    </row>
    <row r="45" spans="1:6">
      <c r="A45" s="2">
        <v>42</v>
      </c>
      <c r="B45" s="2" t="s">
        <v>8</v>
      </c>
      <c r="C45" s="2" t="s">
        <v>11</v>
      </c>
      <c r="D45" s="2" t="s">
        <v>14</v>
      </c>
      <c r="E45" s="2" t="s">
        <v>18</v>
      </c>
      <c r="F45" s="2" t="s">
        <v>21</v>
      </c>
    </row>
    <row r="46" spans="1:6">
      <c r="A46" s="2">
        <v>43</v>
      </c>
      <c r="B46" s="2" t="s">
        <v>8</v>
      </c>
      <c r="C46" s="2" t="s">
        <v>11</v>
      </c>
      <c r="D46" s="2" t="s">
        <v>15</v>
      </c>
      <c r="E46" s="2" t="s">
        <v>16</v>
      </c>
      <c r="F46" s="2" t="s">
        <v>21</v>
      </c>
    </row>
    <row r="47" spans="1:6">
      <c r="A47" s="2">
        <v>44</v>
      </c>
      <c r="B47" s="2" t="s">
        <v>8</v>
      </c>
      <c r="C47" s="2" t="s">
        <v>11</v>
      </c>
      <c r="D47" s="2" t="s">
        <v>15</v>
      </c>
      <c r="E47" s="2" t="s">
        <v>17</v>
      </c>
      <c r="F47" s="2" t="s">
        <v>21</v>
      </c>
    </row>
    <row r="48" spans="1:6">
      <c r="A48" s="2">
        <v>45</v>
      </c>
      <c r="B48" s="2" t="s">
        <v>8</v>
      </c>
      <c r="C48" s="2" t="s">
        <v>11</v>
      </c>
      <c r="D48" s="2" t="s">
        <v>15</v>
      </c>
      <c r="E48" s="2" t="s">
        <v>18</v>
      </c>
      <c r="F48" s="2" t="s">
        <v>22</v>
      </c>
    </row>
    <row r="49" spans="1:6">
      <c r="A49" s="2">
        <v>46</v>
      </c>
      <c r="B49" s="2" t="s">
        <v>8</v>
      </c>
      <c r="C49" s="2" t="s">
        <v>12</v>
      </c>
      <c r="D49" s="2" t="s">
        <v>13</v>
      </c>
      <c r="E49" s="2" t="s">
        <v>16</v>
      </c>
      <c r="F49" s="2" t="s">
        <v>19</v>
      </c>
    </row>
    <row r="50" spans="1:6">
      <c r="A50" s="2">
        <v>47</v>
      </c>
      <c r="B50" s="2" t="s">
        <v>8</v>
      </c>
      <c r="C50" s="2" t="s">
        <v>12</v>
      </c>
      <c r="D50" s="2" t="s">
        <v>13</v>
      </c>
      <c r="E50" s="2" t="s">
        <v>17</v>
      </c>
      <c r="F50" s="2" t="s">
        <v>21</v>
      </c>
    </row>
    <row r="51" spans="1:6">
      <c r="A51" s="2">
        <v>48</v>
      </c>
      <c r="B51" s="2" t="s">
        <v>8</v>
      </c>
      <c r="C51" s="2" t="s">
        <v>12</v>
      </c>
      <c r="D51" s="2" t="s">
        <v>13</v>
      </c>
      <c r="E51" s="2" t="s">
        <v>18</v>
      </c>
      <c r="F51" s="2" t="s">
        <v>22</v>
      </c>
    </row>
    <row r="52" spans="1:6">
      <c r="A52" s="2">
        <v>49</v>
      </c>
      <c r="B52" s="2" t="s">
        <v>8</v>
      </c>
      <c r="C52" s="2" t="s">
        <v>12</v>
      </c>
      <c r="D52" s="2" t="s">
        <v>14</v>
      </c>
      <c r="E52" s="2" t="s">
        <v>16</v>
      </c>
      <c r="F52" s="2" t="s">
        <v>21</v>
      </c>
    </row>
    <row r="53" spans="1:6">
      <c r="A53" s="2">
        <v>50</v>
      </c>
      <c r="B53" s="2" t="s">
        <v>8</v>
      </c>
      <c r="C53" s="2" t="s">
        <v>12</v>
      </c>
      <c r="D53" s="2" t="s">
        <v>14</v>
      </c>
      <c r="E53" s="2" t="s">
        <v>17</v>
      </c>
      <c r="F53" s="2" t="s">
        <v>21</v>
      </c>
    </row>
    <row r="54" spans="1:6">
      <c r="A54" s="2">
        <v>51</v>
      </c>
      <c r="B54" s="2" t="s">
        <v>8</v>
      </c>
      <c r="C54" s="2" t="s">
        <v>12</v>
      </c>
      <c r="D54" s="2" t="s">
        <v>14</v>
      </c>
      <c r="E54" s="2" t="s">
        <v>18</v>
      </c>
      <c r="F54" s="2" t="s">
        <v>22</v>
      </c>
    </row>
    <row r="55" spans="1:6">
      <c r="A55" s="2">
        <v>52</v>
      </c>
      <c r="B55" s="2" t="s">
        <v>8</v>
      </c>
      <c r="C55" s="2" t="s">
        <v>12</v>
      </c>
      <c r="D55" s="2" t="s">
        <v>15</v>
      </c>
      <c r="E55" s="2" t="s">
        <v>16</v>
      </c>
      <c r="F55" s="2" t="s">
        <v>22</v>
      </c>
    </row>
    <row r="56" spans="1:6">
      <c r="A56" s="2">
        <v>53</v>
      </c>
      <c r="B56" s="2" t="s">
        <v>8</v>
      </c>
      <c r="C56" s="2" t="s">
        <v>12</v>
      </c>
      <c r="D56" s="2" t="s">
        <v>15</v>
      </c>
      <c r="E56" s="2" t="s">
        <v>17</v>
      </c>
      <c r="F56" s="2" t="s">
        <v>21</v>
      </c>
    </row>
    <row r="57" spans="1:6">
      <c r="A57" s="2">
        <v>54</v>
      </c>
      <c r="B57" s="2" t="s">
        <v>8</v>
      </c>
      <c r="C57" s="2" t="s">
        <v>12</v>
      </c>
      <c r="D57" s="2" t="s">
        <v>15</v>
      </c>
      <c r="E57" s="2" t="s">
        <v>18</v>
      </c>
      <c r="F57" s="2" t="s">
        <v>22</v>
      </c>
    </row>
    <row r="58" spans="1:6">
      <c r="A58" s="2">
        <v>55</v>
      </c>
      <c r="B58" s="2" t="s">
        <v>9</v>
      </c>
      <c r="C58" s="2" t="s">
        <v>10</v>
      </c>
      <c r="D58" s="2" t="s">
        <v>13</v>
      </c>
      <c r="E58" s="2" t="s">
        <v>16</v>
      </c>
      <c r="F58" s="2" t="s">
        <v>20</v>
      </c>
    </row>
    <row r="59" spans="1:6">
      <c r="A59" s="2">
        <v>56</v>
      </c>
      <c r="B59" s="2" t="s">
        <v>9</v>
      </c>
      <c r="C59" s="2" t="s">
        <v>10</v>
      </c>
      <c r="D59" s="2" t="s">
        <v>13</v>
      </c>
      <c r="E59" s="2" t="s">
        <v>17</v>
      </c>
      <c r="F59" s="2" t="s">
        <v>19</v>
      </c>
    </row>
    <row r="60" spans="1:6">
      <c r="A60" s="2">
        <v>57</v>
      </c>
      <c r="B60" s="2" t="s">
        <v>9</v>
      </c>
      <c r="C60" s="2" t="s">
        <v>10</v>
      </c>
      <c r="D60" s="2" t="s">
        <v>13</v>
      </c>
      <c r="E60" s="2" t="s">
        <v>18</v>
      </c>
      <c r="F60" s="2" t="s">
        <v>21</v>
      </c>
    </row>
    <row r="61" spans="1:6">
      <c r="A61" s="2">
        <v>58</v>
      </c>
      <c r="B61" s="2" t="s">
        <v>9</v>
      </c>
      <c r="C61" s="2" t="s">
        <v>10</v>
      </c>
      <c r="D61" s="2" t="s">
        <v>14</v>
      </c>
      <c r="E61" s="2" t="s">
        <v>16</v>
      </c>
      <c r="F61" s="2" t="s">
        <v>19</v>
      </c>
    </row>
    <row r="62" spans="1:6">
      <c r="A62" s="2">
        <v>59</v>
      </c>
      <c r="B62" s="2" t="s">
        <v>9</v>
      </c>
      <c r="C62" s="2" t="s">
        <v>10</v>
      </c>
      <c r="D62" s="2" t="s">
        <v>14</v>
      </c>
      <c r="E62" s="2" t="s">
        <v>17</v>
      </c>
      <c r="F62" s="2" t="s">
        <v>21</v>
      </c>
    </row>
    <row r="63" spans="1:6">
      <c r="A63" s="2">
        <v>60</v>
      </c>
      <c r="B63" s="2" t="s">
        <v>9</v>
      </c>
      <c r="C63" s="2" t="s">
        <v>10</v>
      </c>
      <c r="D63" s="2" t="s">
        <v>14</v>
      </c>
      <c r="E63" s="2" t="s">
        <v>18</v>
      </c>
      <c r="F63" s="2" t="s">
        <v>22</v>
      </c>
    </row>
    <row r="64" spans="1:6">
      <c r="A64" s="2">
        <v>61</v>
      </c>
      <c r="B64" s="2" t="s">
        <v>9</v>
      </c>
      <c r="C64" s="2" t="s">
        <v>10</v>
      </c>
      <c r="D64" s="2" t="s">
        <v>15</v>
      </c>
      <c r="E64" s="2" t="s">
        <v>16</v>
      </c>
      <c r="F64" s="2" t="s">
        <v>22</v>
      </c>
    </row>
    <row r="65" spans="1:6">
      <c r="A65" s="2">
        <v>62</v>
      </c>
      <c r="B65" s="2" t="s">
        <v>9</v>
      </c>
      <c r="C65" s="2" t="s">
        <v>10</v>
      </c>
      <c r="D65" s="2" t="s">
        <v>15</v>
      </c>
      <c r="E65" s="2" t="s">
        <v>17</v>
      </c>
      <c r="F65" s="2" t="s">
        <v>22</v>
      </c>
    </row>
    <row r="66" spans="1:6">
      <c r="A66" s="2">
        <v>63</v>
      </c>
      <c r="B66" s="2" t="s">
        <v>9</v>
      </c>
      <c r="C66" s="2" t="s">
        <v>10</v>
      </c>
      <c r="D66" s="2" t="s">
        <v>15</v>
      </c>
      <c r="E66" s="2" t="s">
        <v>18</v>
      </c>
      <c r="F66" s="2" t="s">
        <v>22</v>
      </c>
    </row>
    <row r="67" spans="1:6">
      <c r="A67" s="2">
        <v>64</v>
      </c>
      <c r="B67" s="2" t="s">
        <v>9</v>
      </c>
      <c r="C67" s="2" t="s">
        <v>11</v>
      </c>
      <c r="D67" s="2" t="s">
        <v>13</v>
      </c>
      <c r="E67" s="2" t="s">
        <v>16</v>
      </c>
      <c r="F67" s="2" t="s">
        <v>21</v>
      </c>
    </row>
    <row r="68" spans="1:6">
      <c r="A68" s="2">
        <v>65</v>
      </c>
      <c r="B68" s="2" t="s">
        <v>9</v>
      </c>
      <c r="C68" s="2" t="s">
        <v>11</v>
      </c>
      <c r="D68" s="2" t="s">
        <v>13</v>
      </c>
      <c r="E68" s="2" t="s">
        <v>17</v>
      </c>
      <c r="F68" s="2" t="s">
        <v>21</v>
      </c>
    </row>
    <row r="69" spans="1:6">
      <c r="A69" s="2">
        <v>66</v>
      </c>
      <c r="B69" s="2" t="s">
        <v>9</v>
      </c>
      <c r="C69" s="2" t="s">
        <v>11</v>
      </c>
      <c r="D69" s="2" t="s">
        <v>13</v>
      </c>
      <c r="E69" s="2" t="s">
        <v>18</v>
      </c>
      <c r="F69" s="2" t="s">
        <v>22</v>
      </c>
    </row>
    <row r="70" spans="1:6">
      <c r="A70" s="2">
        <v>67</v>
      </c>
      <c r="B70" s="2" t="s">
        <v>9</v>
      </c>
      <c r="C70" s="2" t="s">
        <v>11</v>
      </c>
      <c r="D70" s="2" t="s">
        <v>14</v>
      </c>
      <c r="E70" s="2" t="s">
        <v>16</v>
      </c>
      <c r="F70" s="2" t="s">
        <v>21</v>
      </c>
    </row>
    <row r="71" spans="1:6">
      <c r="A71" s="2">
        <v>68</v>
      </c>
      <c r="B71" s="2" t="s">
        <v>9</v>
      </c>
      <c r="C71" s="2" t="s">
        <v>11</v>
      </c>
      <c r="D71" s="2" t="s">
        <v>14</v>
      </c>
      <c r="E71" s="2" t="s">
        <v>17</v>
      </c>
      <c r="F71" s="2" t="s">
        <v>22</v>
      </c>
    </row>
    <row r="72" spans="1:6">
      <c r="A72" s="2">
        <v>69</v>
      </c>
      <c r="B72" s="2" t="s">
        <v>9</v>
      </c>
      <c r="C72" s="2" t="s">
        <v>11</v>
      </c>
      <c r="D72" s="2" t="s">
        <v>14</v>
      </c>
      <c r="E72" s="2" t="s">
        <v>18</v>
      </c>
      <c r="F72" s="2" t="s">
        <v>21</v>
      </c>
    </row>
    <row r="73" spans="1:6">
      <c r="A73" s="2">
        <v>70</v>
      </c>
      <c r="B73" s="2" t="s">
        <v>9</v>
      </c>
      <c r="C73" s="2" t="s">
        <v>11</v>
      </c>
      <c r="D73" s="2" t="s">
        <v>15</v>
      </c>
      <c r="E73" s="2" t="s">
        <v>16</v>
      </c>
      <c r="F73" s="2" t="s">
        <v>22</v>
      </c>
    </row>
    <row r="74" spans="1:6">
      <c r="A74" s="2">
        <v>71</v>
      </c>
      <c r="B74" s="2" t="s">
        <v>9</v>
      </c>
      <c r="C74" s="2" t="s">
        <v>11</v>
      </c>
      <c r="D74" s="2" t="s">
        <v>15</v>
      </c>
      <c r="E74" s="2" t="s">
        <v>17</v>
      </c>
      <c r="F74" s="2" t="s">
        <v>22</v>
      </c>
    </row>
    <row r="75" spans="1:6">
      <c r="A75" s="2">
        <v>72</v>
      </c>
      <c r="B75" s="2" t="s">
        <v>9</v>
      </c>
      <c r="C75" s="2" t="s">
        <v>11</v>
      </c>
      <c r="D75" s="2" t="s">
        <v>15</v>
      </c>
      <c r="E75" s="2" t="s">
        <v>18</v>
      </c>
      <c r="F75" s="2" t="s">
        <v>22</v>
      </c>
    </row>
    <row r="76" spans="1:6">
      <c r="A76" s="2">
        <v>73</v>
      </c>
      <c r="B76" s="2" t="s">
        <v>9</v>
      </c>
      <c r="C76" s="2" t="s">
        <v>12</v>
      </c>
      <c r="D76" s="2" t="s">
        <v>13</v>
      </c>
      <c r="E76" s="2" t="s">
        <v>16</v>
      </c>
      <c r="F76" s="2" t="s">
        <v>21</v>
      </c>
    </row>
    <row r="77" spans="1:6">
      <c r="A77" s="2">
        <v>74</v>
      </c>
      <c r="B77" s="2" t="s">
        <v>9</v>
      </c>
      <c r="C77" s="2" t="s">
        <v>12</v>
      </c>
      <c r="D77" s="2" t="s">
        <v>13</v>
      </c>
      <c r="E77" s="2" t="s">
        <v>17</v>
      </c>
      <c r="F77" s="2" t="s">
        <v>22</v>
      </c>
    </row>
    <row r="78" spans="1:6">
      <c r="A78" s="2">
        <v>75</v>
      </c>
      <c r="B78" s="2" t="s">
        <v>9</v>
      </c>
      <c r="C78" s="2" t="s">
        <v>12</v>
      </c>
      <c r="D78" s="2" t="s">
        <v>13</v>
      </c>
      <c r="E78" s="2" t="s">
        <v>18</v>
      </c>
      <c r="F78" s="2" t="s">
        <v>22</v>
      </c>
    </row>
    <row r="79" spans="1:6">
      <c r="A79" s="2">
        <v>76</v>
      </c>
      <c r="B79" s="2" t="s">
        <v>9</v>
      </c>
      <c r="C79" s="2" t="s">
        <v>12</v>
      </c>
      <c r="D79" s="2" t="s">
        <v>14</v>
      </c>
      <c r="E79" s="2" t="s">
        <v>16</v>
      </c>
      <c r="F79" s="2" t="s">
        <v>22</v>
      </c>
    </row>
    <row r="80" spans="1:6">
      <c r="A80" s="2">
        <v>77</v>
      </c>
      <c r="B80" s="2" t="s">
        <v>9</v>
      </c>
      <c r="C80" s="2" t="s">
        <v>12</v>
      </c>
      <c r="D80" s="2" t="s">
        <v>14</v>
      </c>
      <c r="E80" s="2" t="s">
        <v>17</v>
      </c>
      <c r="F80" s="2" t="s">
        <v>22</v>
      </c>
    </row>
    <row r="81" spans="1:6">
      <c r="A81" s="2">
        <v>78</v>
      </c>
      <c r="B81" s="2" t="s">
        <v>9</v>
      </c>
      <c r="C81" s="2" t="s">
        <v>12</v>
      </c>
      <c r="D81" s="2" t="s">
        <v>14</v>
      </c>
      <c r="E81" s="2" t="s">
        <v>18</v>
      </c>
      <c r="F81" s="2" t="s">
        <v>22</v>
      </c>
    </row>
    <row r="82" spans="1:6">
      <c r="A82" s="2">
        <v>79</v>
      </c>
      <c r="B82" s="2" t="s">
        <v>9</v>
      </c>
      <c r="C82" s="2" t="s">
        <v>12</v>
      </c>
      <c r="D82" s="2" t="s">
        <v>15</v>
      </c>
      <c r="E82" s="2" t="s">
        <v>16</v>
      </c>
      <c r="F82" s="2" t="s">
        <v>22</v>
      </c>
    </row>
    <row r="83" spans="1:6">
      <c r="A83" s="2">
        <v>80</v>
      </c>
      <c r="B83" s="2" t="s">
        <v>9</v>
      </c>
      <c r="C83" s="2" t="s">
        <v>12</v>
      </c>
      <c r="D83" s="2" t="s">
        <v>15</v>
      </c>
      <c r="E83" s="2" t="s">
        <v>17</v>
      </c>
      <c r="F83" s="2" t="s">
        <v>22</v>
      </c>
    </row>
    <row r="84" spans="1:6">
      <c r="A84" s="2">
        <v>81</v>
      </c>
      <c r="B84" s="2" t="s">
        <v>9</v>
      </c>
      <c r="C84" s="2" t="s">
        <v>12</v>
      </c>
      <c r="D84" s="2" t="s">
        <v>15</v>
      </c>
      <c r="E84" s="2" t="s">
        <v>18</v>
      </c>
      <c r="F84" s="2" t="s">
        <v>22</v>
      </c>
    </row>
    <row r="85" spans="1:6">
      <c r="E85" s="1"/>
    </row>
    <row r="86" spans="1:6">
      <c r="E86" s="1"/>
    </row>
    <row r="87" spans="1:6">
      <c r="E87" s="1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123"/>
  <sheetViews>
    <sheetView workbookViewId="0">
      <selection activeCell="C4" sqref="C4:F4"/>
    </sheetView>
  </sheetViews>
  <sheetFormatPr defaultRowHeight="15"/>
  <cols>
    <col min="2" max="2" width="14" customWidth="1"/>
    <col min="3" max="3" width="12.85546875" customWidth="1"/>
    <col min="4" max="4" width="10.28515625" customWidth="1"/>
    <col min="5" max="5" width="12" customWidth="1"/>
    <col min="6" max="6" width="13" customWidth="1"/>
  </cols>
  <sheetData>
    <row r="3" spans="1:7">
      <c r="A3" s="3" t="s">
        <v>1</v>
      </c>
      <c r="B3" s="3" t="s">
        <v>23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 s="1">
        <v>1</v>
      </c>
      <c r="B4" s="6">
        <v>42005</v>
      </c>
      <c r="C4" s="1">
        <v>26.2</v>
      </c>
      <c r="D4" s="1">
        <v>80</v>
      </c>
      <c r="E4" s="1">
        <v>1010.8</v>
      </c>
      <c r="F4" s="1">
        <v>5</v>
      </c>
      <c r="G4" s="1" t="s">
        <v>21</v>
      </c>
    </row>
    <row r="5" spans="1:7">
      <c r="A5" s="1">
        <v>2</v>
      </c>
      <c r="B5" s="6">
        <v>42006</v>
      </c>
      <c r="C5" s="1">
        <v>26.7</v>
      </c>
      <c r="D5" s="1">
        <v>82</v>
      </c>
      <c r="E5" s="1">
        <v>1011.2</v>
      </c>
      <c r="F5" s="1">
        <v>5</v>
      </c>
      <c r="G5" s="1" t="s">
        <v>20</v>
      </c>
    </row>
    <row r="6" spans="1:7">
      <c r="A6" s="1">
        <v>3</v>
      </c>
      <c r="B6" s="6">
        <v>42007</v>
      </c>
      <c r="C6" s="1">
        <v>26.9</v>
      </c>
      <c r="D6" s="1">
        <v>83</v>
      </c>
      <c r="E6" s="1">
        <v>1010.2</v>
      </c>
      <c r="F6" s="1">
        <v>4</v>
      </c>
      <c r="G6" s="1" t="s">
        <v>20</v>
      </c>
    </row>
    <row r="7" spans="1:7">
      <c r="A7" s="1">
        <v>4</v>
      </c>
      <c r="B7" s="6">
        <v>42008</v>
      </c>
      <c r="C7" s="1">
        <v>27.1</v>
      </c>
      <c r="D7" s="1">
        <v>82</v>
      </c>
      <c r="E7" s="1">
        <v>1009.5</v>
      </c>
      <c r="F7" s="1">
        <v>3</v>
      </c>
      <c r="G7" s="1" t="s">
        <v>20</v>
      </c>
    </row>
    <row r="8" spans="1:7">
      <c r="A8" s="1">
        <v>5</v>
      </c>
      <c r="B8" s="6">
        <v>42009</v>
      </c>
      <c r="C8" s="1">
        <v>28.6</v>
      </c>
      <c r="D8" s="1">
        <v>74</v>
      </c>
      <c r="E8" s="1">
        <v>1008.9</v>
      </c>
      <c r="F8" s="1">
        <v>3</v>
      </c>
      <c r="G8" s="1" t="s">
        <v>24</v>
      </c>
    </row>
    <row r="9" spans="1:7">
      <c r="A9" s="1">
        <v>6</v>
      </c>
      <c r="B9" s="6">
        <v>42010</v>
      </c>
      <c r="C9" s="1">
        <v>28.2</v>
      </c>
      <c r="D9" s="1">
        <v>78</v>
      </c>
      <c r="E9" s="1">
        <v>1008.6</v>
      </c>
      <c r="F9" s="1">
        <v>3</v>
      </c>
      <c r="G9" s="1" t="s">
        <v>20</v>
      </c>
    </row>
    <row r="10" spans="1:7">
      <c r="A10" s="1">
        <v>7</v>
      </c>
      <c r="B10" s="6">
        <v>42011</v>
      </c>
      <c r="C10" s="1">
        <v>28.1</v>
      </c>
      <c r="D10" s="1">
        <v>80</v>
      </c>
      <c r="E10" s="1">
        <v>1009.1</v>
      </c>
      <c r="F10" s="1">
        <v>3</v>
      </c>
      <c r="G10" s="1" t="s">
        <v>24</v>
      </c>
    </row>
    <row r="11" spans="1:7">
      <c r="A11" s="1">
        <v>8</v>
      </c>
      <c r="B11" s="6">
        <v>42012</v>
      </c>
      <c r="C11" s="1">
        <v>26.9</v>
      </c>
      <c r="D11" s="1">
        <v>85</v>
      </c>
      <c r="E11" s="1">
        <v>1010.7</v>
      </c>
      <c r="F11" s="1">
        <v>3</v>
      </c>
      <c r="G11" s="1" t="s">
        <v>20</v>
      </c>
    </row>
    <row r="12" spans="1:7">
      <c r="A12" s="1">
        <v>9</v>
      </c>
      <c r="B12" s="6">
        <v>42013</v>
      </c>
      <c r="C12" s="1">
        <v>27.1</v>
      </c>
      <c r="D12" s="1">
        <v>80</v>
      </c>
      <c r="E12" s="1">
        <v>1010.8</v>
      </c>
      <c r="F12" s="1">
        <v>4</v>
      </c>
      <c r="G12" s="1" t="s">
        <v>21</v>
      </c>
    </row>
    <row r="13" spans="1:7">
      <c r="A13" s="1">
        <v>10</v>
      </c>
      <c r="B13" s="6">
        <v>42014</v>
      </c>
      <c r="C13" s="1">
        <v>27.1</v>
      </c>
      <c r="D13" s="1">
        <v>82</v>
      </c>
      <c r="E13" s="1">
        <v>1009.9</v>
      </c>
      <c r="F13" s="1">
        <v>4</v>
      </c>
      <c r="G13" s="1" t="s">
        <v>20</v>
      </c>
    </row>
    <row r="14" spans="1:7">
      <c r="A14" s="1">
        <v>11</v>
      </c>
      <c r="B14" s="6">
        <v>42015</v>
      </c>
      <c r="C14" s="1">
        <v>26.6</v>
      </c>
      <c r="D14" s="1">
        <v>83</v>
      </c>
      <c r="E14" s="1">
        <v>1010.1</v>
      </c>
      <c r="F14" s="1">
        <v>3</v>
      </c>
      <c r="G14" s="1" t="s">
        <v>20</v>
      </c>
    </row>
    <row r="15" spans="1:7">
      <c r="A15" s="1">
        <v>12</v>
      </c>
      <c r="B15" s="6">
        <v>42016</v>
      </c>
      <c r="C15" s="1">
        <v>28</v>
      </c>
      <c r="D15" s="1">
        <v>79</v>
      </c>
      <c r="E15" s="1">
        <v>1009.5</v>
      </c>
      <c r="F15" s="1">
        <v>6</v>
      </c>
      <c r="G15" s="1" t="s">
        <v>21</v>
      </c>
    </row>
    <row r="16" spans="1:7">
      <c r="A16" s="1">
        <v>13</v>
      </c>
      <c r="B16" s="6">
        <v>42017</v>
      </c>
      <c r="C16" s="1">
        <v>27.2</v>
      </c>
      <c r="D16" s="1">
        <v>83</v>
      </c>
      <c r="E16" s="1">
        <v>1010.4</v>
      </c>
      <c r="F16" s="1">
        <v>3</v>
      </c>
      <c r="G16" s="1" t="s">
        <v>20</v>
      </c>
    </row>
    <row r="17" spans="1:7">
      <c r="A17" s="1">
        <v>14</v>
      </c>
      <c r="B17" s="6">
        <v>42018</v>
      </c>
      <c r="C17" s="1">
        <v>26.6</v>
      </c>
      <c r="D17" s="1">
        <v>87</v>
      </c>
      <c r="E17" s="1">
        <v>1012.2</v>
      </c>
      <c r="F17" s="1">
        <v>3</v>
      </c>
      <c r="G17" s="1" t="s">
        <v>20</v>
      </c>
    </row>
    <row r="18" spans="1:7">
      <c r="A18" s="1">
        <v>15</v>
      </c>
      <c r="B18" s="6">
        <v>42019</v>
      </c>
      <c r="C18" s="1">
        <v>25.9</v>
      </c>
      <c r="D18" s="1">
        <v>88</v>
      </c>
      <c r="E18" s="1">
        <v>1011.3</v>
      </c>
      <c r="F18" s="1">
        <v>4</v>
      </c>
      <c r="G18" s="1" t="s">
        <v>20</v>
      </c>
    </row>
    <row r="19" spans="1:7">
      <c r="A19" s="1">
        <v>16</v>
      </c>
      <c r="B19" s="6">
        <v>42020</v>
      </c>
      <c r="C19" s="1">
        <v>26.8</v>
      </c>
      <c r="D19" s="1">
        <v>84</v>
      </c>
      <c r="E19" s="1">
        <v>1011.2</v>
      </c>
      <c r="F19" s="1">
        <v>4</v>
      </c>
      <c r="G19" s="1" t="s">
        <v>20</v>
      </c>
    </row>
    <row r="20" spans="1:7">
      <c r="A20" s="1">
        <v>17</v>
      </c>
      <c r="B20" s="6">
        <v>42021</v>
      </c>
      <c r="C20" s="1">
        <v>27.2</v>
      </c>
      <c r="D20" s="1">
        <v>76</v>
      </c>
      <c r="E20" s="1">
        <v>1011.1</v>
      </c>
      <c r="F20" s="1">
        <v>4</v>
      </c>
      <c r="G20" s="1" t="s">
        <v>21</v>
      </c>
    </row>
    <row r="21" spans="1:7">
      <c r="A21" s="1">
        <v>18</v>
      </c>
      <c r="B21" s="6">
        <v>42022</v>
      </c>
      <c r="C21" s="1">
        <v>25.3</v>
      </c>
      <c r="D21" s="1">
        <v>87</v>
      </c>
      <c r="E21" s="1">
        <v>1011.9</v>
      </c>
      <c r="F21" s="1">
        <v>3</v>
      </c>
      <c r="G21" s="1" t="s">
        <v>20</v>
      </c>
    </row>
    <row r="22" spans="1:7">
      <c r="A22" s="1">
        <v>19</v>
      </c>
      <c r="B22" s="6">
        <v>42023</v>
      </c>
      <c r="C22" s="1">
        <v>26.8</v>
      </c>
      <c r="D22" s="1">
        <v>85</v>
      </c>
      <c r="E22" s="1">
        <v>1012.5</v>
      </c>
      <c r="F22" s="1">
        <v>3</v>
      </c>
      <c r="G22" s="1" t="s">
        <v>20</v>
      </c>
    </row>
    <row r="23" spans="1:7">
      <c r="A23" s="1">
        <v>20</v>
      </c>
      <c r="B23" s="6">
        <v>42024</v>
      </c>
      <c r="C23" s="1">
        <v>24.7</v>
      </c>
      <c r="D23" s="1">
        <v>95</v>
      </c>
      <c r="E23" s="1">
        <v>1014.5</v>
      </c>
      <c r="F23" s="1">
        <v>2</v>
      </c>
      <c r="G23" s="1" t="s">
        <v>20</v>
      </c>
    </row>
    <row r="24" spans="1:7">
      <c r="A24" s="1">
        <v>21</v>
      </c>
      <c r="B24" s="6">
        <v>42025</v>
      </c>
      <c r="C24" s="1">
        <v>25.5</v>
      </c>
      <c r="D24" s="1">
        <v>91</v>
      </c>
      <c r="E24" s="1">
        <v>1014.8</v>
      </c>
      <c r="F24" s="1">
        <v>2</v>
      </c>
      <c r="G24" s="1" t="s">
        <v>20</v>
      </c>
    </row>
    <row r="25" spans="1:7">
      <c r="A25" s="1">
        <v>22</v>
      </c>
      <c r="B25" s="6">
        <v>42026</v>
      </c>
      <c r="C25" s="1">
        <v>25.8</v>
      </c>
      <c r="D25" s="1">
        <v>90</v>
      </c>
      <c r="E25" s="1">
        <v>1013.7</v>
      </c>
      <c r="F25" s="1">
        <v>4</v>
      </c>
      <c r="G25" s="1" t="s">
        <v>20</v>
      </c>
    </row>
    <row r="26" spans="1:7">
      <c r="A26" s="1">
        <v>23</v>
      </c>
      <c r="B26" s="6">
        <v>42027</v>
      </c>
      <c r="C26" s="1">
        <v>26.1</v>
      </c>
      <c r="D26" s="1">
        <v>85</v>
      </c>
      <c r="E26" s="1">
        <v>1012.6</v>
      </c>
      <c r="F26" s="1">
        <v>3</v>
      </c>
      <c r="G26" s="1" t="s">
        <v>20</v>
      </c>
    </row>
    <row r="27" spans="1:7">
      <c r="A27" s="1">
        <v>24</v>
      </c>
      <c r="B27" s="6">
        <v>42028</v>
      </c>
      <c r="C27" s="1">
        <v>25.3</v>
      </c>
      <c r="D27" s="1">
        <v>92</v>
      </c>
      <c r="E27" s="1">
        <v>1012.9</v>
      </c>
      <c r="F27" s="1">
        <v>3</v>
      </c>
      <c r="G27" s="1" t="s">
        <v>20</v>
      </c>
    </row>
    <row r="28" spans="1:7">
      <c r="A28" s="1">
        <v>25</v>
      </c>
      <c r="B28" s="6">
        <v>42029</v>
      </c>
      <c r="C28" s="1">
        <v>25.5</v>
      </c>
      <c r="D28" s="1">
        <v>91</v>
      </c>
      <c r="E28" s="1">
        <v>1013.3</v>
      </c>
      <c r="F28" s="1">
        <v>3</v>
      </c>
      <c r="G28" s="1" t="s">
        <v>20</v>
      </c>
    </row>
    <row r="29" spans="1:7">
      <c r="A29" s="1">
        <v>26</v>
      </c>
      <c r="B29" s="6">
        <v>42030</v>
      </c>
      <c r="C29" s="1">
        <v>25.3</v>
      </c>
      <c r="D29" s="1">
        <v>88</v>
      </c>
      <c r="E29" s="1">
        <v>1012</v>
      </c>
      <c r="F29" s="1">
        <v>3</v>
      </c>
      <c r="G29" s="1" t="s">
        <v>20</v>
      </c>
    </row>
    <row r="30" spans="1:7">
      <c r="A30" s="1">
        <v>27</v>
      </c>
      <c r="B30" s="6">
        <v>42031</v>
      </c>
      <c r="C30" s="1">
        <v>27.1</v>
      </c>
      <c r="D30" s="1">
        <v>81</v>
      </c>
      <c r="E30" s="1">
        <v>1010.6</v>
      </c>
      <c r="F30" s="1">
        <v>3</v>
      </c>
      <c r="G30" s="1" t="s">
        <v>20</v>
      </c>
    </row>
    <row r="31" spans="1:7">
      <c r="A31" s="1">
        <v>28</v>
      </c>
      <c r="B31" s="6">
        <v>42032</v>
      </c>
      <c r="C31" s="1">
        <v>26.7</v>
      </c>
      <c r="D31" s="1">
        <v>83</v>
      </c>
      <c r="E31" s="1">
        <v>1010</v>
      </c>
      <c r="F31" s="1">
        <v>4</v>
      </c>
      <c r="G31" s="1" t="s">
        <v>20</v>
      </c>
    </row>
    <row r="32" spans="1:7">
      <c r="A32" s="1">
        <v>29</v>
      </c>
      <c r="B32" s="6">
        <v>42033</v>
      </c>
      <c r="C32" s="1">
        <v>26.9</v>
      </c>
      <c r="D32" s="1">
        <v>80</v>
      </c>
      <c r="E32" s="1">
        <v>1011.1</v>
      </c>
      <c r="F32" s="1">
        <v>5</v>
      </c>
      <c r="G32" s="1" t="s">
        <v>21</v>
      </c>
    </row>
    <row r="33" spans="1:7">
      <c r="A33" s="1">
        <v>30</v>
      </c>
      <c r="B33" s="6">
        <v>42034</v>
      </c>
      <c r="C33" s="1">
        <v>26.3</v>
      </c>
      <c r="D33" s="1">
        <v>84</v>
      </c>
      <c r="E33" s="1">
        <v>1011.8</v>
      </c>
      <c r="F33" s="1">
        <v>3</v>
      </c>
      <c r="G33" s="1" t="s">
        <v>20</v>
      </c>
    </row>
    <row r="34" spans="1:7">
      <c r="A34" s="1">
        <v>31</v>
      </c>
      <c r="B34" s="6">
        <v>42035</v>
      </c>
      <c r="C34" s="1">
        <v>26.3</v>
      </c>
      <c r="D34" s="1">
        <v>86</v>
      </c>
      <c r="E34" s="1">
        <v>1011.8</v>
      </c>
      <c r="F34" s="1">
        <v>4</v>
      </c>
      <c r="G34" s="1" t="s">
        <v>20</v>
      </c>
    </row>
    <row r="35" spans="1:7">
      <c r="A35" s="1">
        <v>32</v>
      </c>
      <c r="B35" s="6">
        <v>42036</v>
      </c>
      <c r="C35" s="1">
        <v>27.9</v>
      </c>
      <c r="D35" s="1">
        <v>75</v>
      </c>
    </row>
    <row r="36" spans="1:7">
      <c r="A36" s="1">
        <v>33</v>
      </c>
      <c r="B36" s="6">
        <v>42037</v>
      </c>
      <c r="C36" s="1">
        <v>26.2</v>
      </c>
      <c r="D36" s="1">
        <v>81</v>
      </c>
    </row>
    <row r="37" spans="1:7">
      <c r="A37" s="1">
        <v>34</v>
      </c>
      <c r="B37" s="6">
        <v>42038</v>
      </c>
      <c r="C37" s="1">
        <v>26.2</v>
      </c>
      <c r="D37" s="1">
        <v>80</v>
      </c>
    </row>
    <row r="38" spans="1:7">
      <c r="A38" s="1">
        <v>35</v>
      </c>
      <c r="B38" s="6">
        <v>42039</v>
      </c>
      <c r="C38" s="1">
        <v>27</v>
      </c>
      <c r="D38" s="1">
        <v>81</v>
      </c>
    </row>
    <row r="39" spans="1:7">
      <c r="A39" s="1">
        <v>36</v>
      </c>
      <c r="B39" s="6">
        <v>42040</v>
      </c>
      <c r="C39" s="1">
        <v>26.7</v>
      </c>
      <c r="D39" s="1">
        <v>85</v>
      </c>
    </row>
    <row r="40" spans="1:7">
      <c r="A40" s="1">
        <v>37</v>
      </c>
      <c r="B40" s="6">
        <v>42041</v>
      </c>
      <c r="C40" s="1">
        <v>25.2</v>
      </c>
      <c r="D40" s="1">
        <v>92</v>
      </c>
    </row>
    <row r="41" spans="1:7">
      <c r="A41" s="1">
        <v>38</v>
      </c>
      <c r="B41" s="6">
        <v>42042</v>
      </c>
      <c r="C41" s="1">
        <v>25.6</v>
      </c>
      <c r="D41" s="1">
        <v>88</v>
      </c>
    </row>
    <row r="42" spans="1:7">
      <c r="A42" s="1">
        <v>39</v>
      </c>
      <c r="B42" s="6">
        <v>42043</v>
      </c>
      <c r="C42" s="1">
        <v>26</v>
      </c>
      <c r="D42" s="1">
        <v>86</v>
      </c>
    </row>
    <row r="43" spans="1:7">
      <c r="A43" s="1">
        <v>40</v>
      </c>
      <c r="B43" s="6">
        <v>42044</v>
      </c>
      <c r="C43" s="1">
        <v>26</v>
      </c>
      <c r="D43" s="1">
        <v>87</v>
      </c>
    </row>
    <row r="44" spans="1:7">
      <c r="A44" s="1">
        <v>41</v>
      </c>
      <c r="B44" s="6">
        <v>42045</v>
      </c>
      <c r="C44" s="1">
        <v>26.3</v>
      </c>
      <c r="D44" s="1">
        <v>84</v>
      </c>
    </row>
    <row r="45" spans="1:7">
      <c r="A45" s="1">
        <v>42</v>
      </c>
      <c r="B45" s="6">
        <v>42046</v>
      </c>
      <c r="C45" s="1">
        <v>26</v>
      </c>
      <c r="D45" s="1">
        <v>85</v>
      </c>
    </row>
    <row r="46" spans="1:7">
      <c r="A46" s="1">
        <v>43</v>
      </c>
      <c r="B46" s="6">
        <v>42047</v>
      </c>
      <c r="C46" s="1">
        <v>25.3</v>
      </c>
      <c r="D46" s="1">
        <v>88</v>
      </c>
    </row>
    <row r="47" spans="1:7">
      <c r="A47" s="1">
        <v>44</v>
      </c>
      <c r="B47" s="6">
        <v>42048</v>
      </c>
      <c r="C47" s="1">
        <v>26.1</v>
      </c>
      <c r="D47" s="1">
        <v>84</v>
      </c>
    </row>
    <row r="48" spans="1:7">
      <c r="A48" s="1">
        <v>45</v>
      </c>
      <c r="B48" s="6">
        <v>42049</v>
      </c>
      <c r="C48" s="1">
        <v>26.4</v>
      </c>
      <c r="D48" s="1">
        <v>88</v>
      </c>
    </row>
    <row r="49" spans="1:4">
      <c r="A49" s="1">
        <v>46</v>
      </c>
      <c r="B49" s="6">
        <v>42050</v>
      </c>
      <c r="C49" s="1">
        <v>26.4</v>
      </c>
      <c r="D49" s="1">
        <v>86</v>
      </c>
    </row>
    <row r="50" spans="1:4">
      <c r="A50" s="1">
        <v>47</v>
      </c>
      <c r="B50" s="6">
        <v>42051</v>
      </c>
      <c r="C50" s="1">
        <v>26.9</v>
      </c>
      <c r="D50" s="1">
        <v>84</v>
      </c>
    </row>
    <row r="51" spans="1:4">
      <c r="A51" s="1">
        <v>48</v>
      </c>
      <c r="B51" s="6">
        <v>42052</v>
      </c>
      <c r="C51" s="1">
        <v>26.2</v>
      </c>
      <c r="D51" s="1">
        <v>86</v>
      </c>
    </row>
    <row r="52" spans="1:4">
      <c r="A52" s="1">
        <v>49</v>
      </c>
      <c r="B52" s="6">
        <v>42053</v>
      </c>
      <c r="C52" s="1">
        <v>25.1</v>
      </c>
      <c r="D52" s="1">
        <v>93</v>
      </c>
    </row>
    <row r="53" spans="1:4">
      <c r="A53" s="1">
        <v>50</v>
      </c>
      <c r="B53" s="6">
        <v>42054</v>
      </c>
      <c r="C53" s="1">
        <v>25</v>
      </c>
      <c r="D53" s="1">
        <v>87</v>
      </c>
    </row>
    <row r="54" spans="1:4">
      <c r="A54" s="1">
        <v>51</v>
      </c>
      <c r="B54" s="6">
        <v>42055</v>
      </c>
      <c r="C54" s="1">
        <v>26.7</v>
      </c>
      <c r="D54" s="1">
        <v>83</v>
      </c>
    </row>
    <row r="55" spans="1:4">
      <c r="A55" s="1">
        <v>52</v>
      </c>
      <c r="B55" s="6">
        <v>42056</v>
      </c>
      <c r="C55" s="1">
        <v>27.9</v>
      </c>
      <c r="D55" s="1">
        <v>81</v>
      </c>
    </row>
    <row r="56" spans="1:4">
      <c r="A56" s="1">
        <v>53</v>
      </c>
      <c r="B56" s="6">
        <v>42057</v>
      </c>
      <c r="C56" s="1">
        <v>25.7</v>
      </c>
      <c r="D56" s="1">
        <v>92</v>
      </c>
    </row>
    <row r="57" spans="1:4">
      <c r="A57" s="1">
        <v>54</v>
      </c>
      <c r="B57" s="6">
        <v>42058</v>
      </c>
      <c r="C57" s="1">
        <v>27.5</v>
      </c>
      <c r="D57" s="1">
        <v>83</v>
      </c>
    </row>
    <row r="58" spans="1:4">
      <c r="A58" s="1">
        <v>55</v>
      </c>
      <c r="B58" s="6">
        <v>42059</v>
      </c>
      <c r="C58" s="1">
        <v>27.4</v>
      </c>
      <c r="D58" s="1">
        <v>83</v>
      </c>
    </row>
    <row r="59" spans="1:4">
      <c r="A59" s="1">
        <v>56</v>
      </c>
      <c r="B59" s="6">
        <v>42060</v>
      </c>
      <c r="C59" s="1">
        <v>26.6</v>
      </c>
      <c r="D59" s="1">
        <v>85</v>
      </c>
    </row>
    <row r="60" spans="1:4">
      <c r="A60" s="1">
        <v>57</v>
      </c>
      <c r="B60" s="6">
        <v>42061</v>
      </c>
      <c r="C60" s="1">
        <v>27.5</v>
      </c>
      <c r="D60" s="1">
        <v>84</v>
      </c>
    </row>
    <row r="61" spans="1:4">
      <c r="A61" s="1">
        <v>58</v>
      </c>
      <c r="B61" s="6">
        <v>42062</v>
      </c>
      <c r="C61" s="1">
        <v>26.7</v>
      </c>
      <c r="D61" s="1">
        <v>86</v>
      </c>
    </row>
    <row r="62" spans="1:4">
      <c r="A62" s="1">
        <v>59</v>
      </c>
      <c r="B62" s="6">
        <v>42063</v>
      </c>
      <c r="C62" s="1">
        <v>27.4</v>
      </c>
      <c r="D62" s="1">
        <v>80</v>
      </c>
    </row>
    <row r="63" spans="1:4">
      <c r="A63" s="1">
        <v>60</v>
      </c>
      <c r="B63" s="6">
        <v>42064</v>
      </c>
      <c r="C63" s="1">
        <v>27.2</v>
      </c>
      <c r="D63" s="1">
        <v>80</v>
      </c>
    </row>
    <row r="64" spans="1:4">
      <c r="A64" s="1">
        <v>61</v>
      </c>
      <c r="B64" s="6">
        <v>42065</v>
      </c>
      <c r="C64" s="1">
        <v>25</v>
      </c>
      <c r="D64" s="1">
        <v>88</v>
      </c>
    </row>
    <row r="65" spans="1:4">
      <c r="A65" s="1">
        <v>62</v>
      </c>
      <c r="B65" s="6">
        <v>42066</v>
      </c>
      <c r="C65" s="1">
        <v>27.1</v>
      </c>
      <c r="D65" s="1">
        <v>83</v>
      </c>
    </row>
    <row r="66" spans="1:4">
      <c r="A66" s="1">
        <v>63</v>
      </c>
      <c r="B66" s="6">
        <v>42067</v>
      </c>
      <c r="C66" s="1">
        <v>26</v>
      </c>
      <c r="D66" s="1">
        <v>82</v>
      </c>
    </row>
    <row r="67" spans="1:4">
      <c r="A67" s="1">
        <v>64</v>
      </c>
      <c r="B67" s="6">
        <v>42068</v>
      </c>
      <c r="C67" s="1">
        <v>26.3</v>
      </c>
      <c r="D67" s="1">
        <v>81</v>
      </c>
    </row>
    <row r="68" spans="1:4">
      <c r="A68" s="1">
        <v>65</v>
      </c>
      <c r="B68" s="6">
        <v>42069</v>
      </c>
      <c r="C68" s="1">
        <v>26.2</v>
      </c>
      <c r="D68" s="1">
        <v>79</v>
      </c>
    </row>
    <row r="69" spans="1:4">
      <c r="A69" s="1">
        <v>66</v>
      </c>
      <c r="B69" s="6">
        <v>42070</v>
      </c>
      <c r="C69" s="1">
        <v>27.3</v>
      </c>
      <c r="D69" s="1">
        <v>84</v>
      </c>
    </row>
    <row r="70" spans="1:4">
      <c r="A70" s="1">
        <v>67</v>
      </c>
      <c r="B70" s="6">
        <v>42071</v>
      </c>
      <c r="C70" s="1">
        <v>26.5</v>
      </c>
      <c r="D70" s="1">
        <v>80</v>
      </c>
    </row>
    <row r="71" spans="1:4">
      <c r="A71" s="1">
        <v>68</v>
      </c>
      <c r="B71" s="6">
        <v>42072</v>
      </c>
    </row>
    <row r="72" spans="1:4">
      <c r="A72" s="1">
        <v>69</v>
      </c>
      <c r="B72" s="6">
        <v>42073</v>
      </c>
    </row>
    <row r="73" spans="1:4">
      <c r="A73" s="1">
        <v>70</v>
      </c>
      <c r="B73" s="6">
        <v>42074</v>
      </c>
    </row>
    <row r="74" spans="1:4">
      <c r="A74" s="1">
        <v>71</v>
      </c>
      <c r="B74" s="6">
        <v>42075</v>
      </c>
    </row>
    <row r="75" spans="1:4">
      <c r="A75" s="1">
        <v>72</v>
      </c>
      <c r="B75" s="6">
        <v>42076</v>
      </c>
    </row>
    <row r="76" spans="1:4">
      <c r="A76" s="1">
        <v>73</v>
      </c>
      <c r="B76" s="6">
        <v>42077</v>
      </c>
    </row>
    <row r="77" spans="1:4">
      <c r="A77" s="1">
        <v>74</v>
      </c>
      <c r="B77" s="6">
        <v>42078</v>
      </c>
    </row>
    <row r="78" spans="1:4">
      <c r="A78" s="1">
        <v>75</v>
      </c>
      <c r="B78" s="6">
        <v>42079</v>
      </c>
    </row>
    <row r="79" spans="1:4">
      <c r="A79" s="1">
        <v>76</v>
      </c>
      <c r="B79" s="6">
        <v>42080</v>
      </c>
    </row>
    <row r="80" spans="1:4">
      <c r="A80" s="1">
        <v>77</v>
      </c>
      <c r="B80" s="6">
        <v>42081</v>
      </c>
    </row>
    <row r="81" spans="1:2">
      <c r="A81" s="1">
        <v>78</v>
      </c>
      <c r="B81" s="6">
        <v>42082</v>
      </c>
    </row>
    <row r="82" spans="1:2">
      <c r="A82" s="1">
        <v>79</v>
      </c>
      <c r="B82" s="6">
        <v>42083</v>
      </c>
    </row>
    <row r="83" spans="1:2">
      <c r="A83" s="1">
        <v>80</v>
      </c>
      <c r="B83" s="6">
        <v>42084</v>
      </c>
    </row>
    <row r="84" spans="1:2">
      <c r="A84" s="1">
        <v>81</v>
      </c>
      <c r="B84" s="6">
        <v>42085</v>
      </c>
    </row>
    <row r="85" spans="1:2">
      <c r="A85" s="1">
        <v>82</v>
      </c>
      <c r="B85" s="6">
        <v>42086</v>
      </c>
    </row>
    <row r="86" spans="1:2">
      <c r="A86" s="1">
        <v>83</v>
      </c>
      <c r="B86" s="6">
        <v>42087</v>
      </c>
    </row>
    <row r="87" spans="1:2">
      <c r="A87" s="1">
        <v>84</v>
      </c>
      <c r="B87" s="6">
        <v>42088</v>
      </c>
    </row>
    <row r="88" spans="1:2">
      <c r="A88" s="1">
        <v>85</v>
      </c>
      <c r="B88" s="6">
        <v>42089</v>
      </c>
    </row>
    <row r="89" spans="1:2">
      <c r="A89" s="1">
        <v>86</v>
      </c>
      <c r="B89" s="6">
        <v>42090</v>
      </c>
    </row>
    <row r="90" spans="1:2">
      <c r="A90" s="1">
        <v>87</v>
      </c>
      <c r="B90" s="6">
        <v>42091</v>
      </c>
    </row>
    <row r="91" spans="1:2">
      <c r="A91" s="1">
        <v>88</v>
      </c>
      <c r="B91" s="6">
        <v>42092</v>
      </c>
    </row>
    <row r="92" spans="1:2">
      <c r="A92" s="1">
        <v>89</v>
      </c>
      <c r="B92" s="6">
        <v>42093</v>
      </c>
    </row>
    <row r="93" spans="1:2">
      <c r="A93" s="1">
        <v>90</v>
      </c>
      <c r="B93" s="6">
        <v>42094</v>
      </c>
    </row>
    <row r="94" spans="1:2">
      <c r="A94" s="1">
        <v>91</v>
      </c>
      <c r="B94" s="6">
        <v>42095</v>
      </c>
    </row>
    <row r="95" spans="1:2">
      <c r="A95" s="1">
        <v>92</v>
      </c>
      <c r="B95" s="6">
        <v>42096</v>
      </c>
    </row>
    <row r="96" spans="1:2">
      <c r="A96" s="1">
        <v>93</v>
      </c>
      <c r="B96" s="6">
        <v>42097</v>
      </c>
    </row>
    <row r="97" spans="1:2">
      <c r="A97" s="1">
        <v>94</v>
      </c>
      <c r="B97" s="6">
        <v>42098</v>
      </c>
    </row>
    <row r="98" spans="1:2">
      <c r="A98" s="1">
        <v>95</v>
      </c>
      <c r="B98" s="6">
        <v>42099</v>
      </c>
    </row>
    <row r="99" spans="1:2">
      <c r="A99" s="1">
        <v>96</v>
      </c>
      <c r="B99" s="6">
        <v>42100</v>
      </c>
    </row>
    <row r="100" spans="1:2">
      <c r="A100" s="1">
        <v>97</v>
      </c>
      <c r="B100" s="6">
        <v>42101</v>
      </c>
    </row>
    <row r="101" spans="1:2">
      <c r="A101" s="1">
        <v>98</v>
      </c>
      <c r="B101" s="6">
        <v>42102</v>
      </c>
    </row>
    <row r="102" spans="1:2">
      <c r="A102" s="1">
        <v>99</v>
      </c>
      <c r="B102" s="6">
        <v>42103</v>
      </c>
    </row>
    <row r="103" spans="1:2">
      <c r="A103" s="1">
        <v>100</v>
      </c>
      <c r="B103" s="6">
        <v>42104</v>
      </c>
    </row>
    <row r="104" spans="1:2">
      <c r="A104" s="1">
        <v>101</v>
      </c>
      <c r="B104" s="6">
        <v>42105</v>
      </c>
    </row>
    <row r="105" spans="1:2">
      <c r="A105" s="1">
        <v>102</v>
      </c>
      <c r="B105" s="6">
        <v>42106</v>
      </c>
    </row>
    <row r="106" spans="1:2">
      <c r="A106" s="1">
        <v>103</v>
      </c>
      <c r="B106" s="6">
        <v>42107</v>
      </c>
    </row>
    <row r="107" spans="1:2">
      <c r="A107" s="1">
        <v>104</v>
      </c>
      <c r="B107" s="6">
        <v>42108</v>
      </c>
    </row>
    <row r="108" spans="1:2">
      <c r="A108" s="1">
        <v>105</v>
      </c>
      <c r="B108" s="6">
        <v>42109</v>
      </c>
    </row>
    <row r="109" spans="1:2">
      <c r="A109" s="1">
        <v>106</v>
      </c>
      <c r="B109" s="6">
        <v>42110</v>
      </c>
    </row>
    <row r="110" spans="1:2">
      <c r="A110" s="1">
        <v>107</v>
      </c>
      <c r="B110" s="6">
        <v>42111</v>
      </c>
    </row>
    <row r="111" spans="1:2">
      <c r="A111" s="1">
        <v>108</v>
      </c>
      <c r="B111" s="6">
        <v>42112</v>
      </c>
    </row>
    <row r="112" spans="1:2">
      <c r="A112" s="1">
        <v>109</v>
      </c>
      <c r="B112" s="6">
        <v>42113</v>
      </c>
    </row>
    <row r="113" spans="1:2">
      <c r="A113" s="1">
        <v>110</v>
      </c>
      <c r="B113" s="6">
        <v>42114</v>
      </c>
    </row>
    <row r="114" spans="1:2">
      <c r="A114" s="1">
        <v>111</v>
      </c>
      <c r="B114" s="6">
        <v>42115</v>
      </c>
    </row>
    <row r="115" spans="1:2">
      <c r="A115" s="1">
        <v>112</v>
      </c>
      <c r="B115" s="6">
        <v>42116</v>
      </c>
    </row>
    <row r="116" spans="1:2">
      <c r="A116" s="1">
        <v>113</v>
      </c>
      <c r="B116" s="6">
        <v>42117</v>
      </c>
    </row>
    <row r="117" spans="1:2">
      <c r="A117" s="1">
        <v>114</v>
      </c>
      <c r="B117" s="6">
        <v>42118</v>
      </c>
    </row>
    <row r="118" spans="1:2">
      <c r="A118" s="1">
        <v>115</v>
      </c>
      <c r="B118" s="6">
        <v>42119</v>
      </c>
    </row>
    <row r="119" spans="1:2">
      <c r="A119" s="1">
        <v>116</v>
      </c>
      <c r="B119" s="6">
        <v>42120</v>
      </c>
    </row>
    <row r="120" spans="1:2">
      <c r="A120" s="1">
        <v>117</v>
      </c>
      <c r="B120" s="6">
        <v>42121</v>
      </c>
    </row>
    <row r="121" spans="1:2">
      <c r="A121" s="1">
        <v>118</v>
      </c>
      <c r="B121" s="6">
        <v>42122</v>
      </c>
    </row>
    <row r="122" spans="1:2">
      <c r="A122" s="1">
        <v>119</v>
      </c>
      <c r="B122" s="6">
        <v>42123</v>
      </c>
    </row>
    <row r="123" spans="1:2">
      <c r="A123" s="1">
        <v>120</v>
      </c>
      <c r="B123" s="6">
        <v>42124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CD217-B8C2-4F89-8CE3-6404D9FF1E50}">
  <dimension ref="A2:S120"/>
  <sheetViews>
    <sheetView zoomScale="82" workbookViewId="0">
      <selection activeCell="E18" sqref="E18"/>
    </sheetView>
  </sheetViews>
  <sheetFormatPr defaultRowHeight="15"/>
  <cols>
    <col min="1" max="1" width="15.140625" customWidth="1"/>
    <col min="2" max="2" width="16.85546875" customWidth="1"/>
    <col min="3" max="3" width="17.28515625" customWidth="1"/>
    <col min="4" max="4" width="14.42578125" customWidth="1"/>
    <col min="5" max="5" width="16.28515625" customWidth="1"/>
    <col min="6" max="6" width="12" customWidth="1"/>
    <col min="7" max="7" width="19" customWidth="1"/>
    <col min="8" max="8" width="19.28515625" customWidth="1"/>
    <col min="9" max="9" width="14" customWidth="1"/>
    <col min="10" max="10" width="14.5703125" customWidth="1"/>
    <col min="11" max="11" width="14.28515625" customWidth="1"/>
    <col min="12" max="12" width="22" customWidth="1"/>
    <col min="13" max="13" width="23.28515625" bestFit="1" customWidth="1"/>
    <col min="16" max="16" width="13.7109375" customWidth="1"/>
    <col min="17" max="17" width="22.140625" customWidth="1"/>
    <col min="18" max="18" width="20.5703125" customWidth="1"/>
  </cols>
  <sheetData>
    <row r="2" spans="1:18">
      <c r="A2" t="s">
        <v>68</v>
      </c>
      <c r="F2" t="s">
        <v>107</v>
      </c>
      <c r="K2" t="s">
        <v>108</v>
      </c>
      <c r="P2" t="s">
        <v>108</v>
      </c>
    </row>
    <row r="3" spans="1:18">
      <c r="A3" s="1"/>
      <c r="B3" s="1"/>
      <c r="F3" s="1"/>
      <c r="G3" s="1"/>
      <c r="K3" s="1"/>
      <c r="L3" s="1"/>
      <c r="P3" s="1"/>
      <c r="Q3" s="1"/>
    </row>
    <row r="4" spans="1:18" ht="15" customHeight="1">
      <c r="A4" s="77" t="s">
        <v>69</v>
      </c>
      <c r="B4" s="79" t="s">
        <v>70</v>
      </c>
      <c r="F4" s="77" t="s">
        <v>69</v>
      </c>
      <c r="G4" s="79" t="s">
        <v>70</v>
      </c>
      <c r="K4" s="77" t="s">
        <v>69</v>
      </c>
      <c r="L4" s="34" t="s">
        <v>70</v>
      </c>
      <c r="P4" s="77" t="s">
        <v>69</v>
      </c>
      <c r="Q4" s="34" t="s">
        <v>70</v>
      </c>
    </row>
    <row r="5" spans="1:18">
      <c r="A5" s="78"/>
      <c r="B5" s="80"/>
      <c r="F5" s="78"/>
      <c r="G5" s="80"/>
      <c r="K5" s="78"/>
      <c r="L5" s="35"/>
      <c r="P5" s="78"/>
      <c r="Q5" s="35"/>
    </row>
    <row r="6" spans="1:18">
      <c r="A6" s="2" t="s">
        <v>25</v>
      </c>
      <c r="B6" s="2" t="s">
        <v>28</v>
      </c>
      <c r="F6" s="2" t="s">
        <v>87</v>
      </c>
      <c r="G6" s="2" t="s">
        <v>94</v>
      </c>
      <c r="K6" s="2" t="s">
        <v>109</v>
      </c>
      <c r="L6" s="2" t="s">
        <v>128</v>
      </c>
      <c r="P6" s="2" t="s">
        <v>125</v>
      </c>
      <c r="Q6" s="2" t="s">
        <v>137</v>
      </c>
    </row>
    <row r="7" spans="1:18" ht="15" customHeight="1">
      <c r="A7" s="2" t="s">
        <v>26</v>
      </c>
      <c r="B7" s="2" t="s">
        <v>71</v>
      </c>
      <c r="F7" s="2" t="s">
        <v>26</v>
      </c>
      <c r="G7" s="2" t="s">
        <v>92</v>
      </c>
      <c r="K7" s="2" t="s">
        <v>88</v>
      </c>
      <c r="L7" s="2" t="s">
        <v>129</v>
      </c>
      <c r="P7" s="2" t="s">
        <v>126</v>
      </c>
      <c r="Q7" s="2" t="s">
        <v>138</v>
      </c>
    </row>
    <row r="8" spans="1:18">
      <c r="A8" s="2" t="s">
        <v>27</v>
      </c>
      <c r="B8" s="2" t="s">
        <v>29</v>
      </c>
      <c r="F8" s="2" t="s">
        <v>88</v>
      </c>
      <c r="G8" s="2" t="s">
        <v>93</v>
      </c>
      <c r="K8" s="2" t="s">
        <v>27</v>
      </c>
      <c r="L8" s="2" t="s">
        <v>130</v>
      </c>
      <c r="P8" s="2" t="s">
        <v>127</v>
      </c>
      <c r="Q8" s="2" t="s">
        <v>139</v>
      </c>
    </row>
    <row r="9" spans="1:18">
      <c r="A9" s="1"/>
      <c r="B9" s="1"/>
      <c r="F9" s="1"/>
      <c r="G9" s="1"/>
      <c r="K9" s="1"/>
      <c r="L9" s="1"/>
      <c r="P9" s="1"/>
      <c r="Q9" s="1"/>
    </row>
    <row r="10" spans="1:18">
      <c r="B10" s="1">
        <v>26</v>
      </c>
      <c r="C10" s="1">
        <v>27.5</v>
      </c>
      <c r="D10" s="1">
        <v>29</v>
      </c>
    </row>
    <row r="11" spans="1:18">
      <c r="B11" s="30">
        <v>1</v>
      </c>
      <c r="C11" s="30" t="s">
        <v>73</v>
      </c>
      <c r="E11" s="32"/>
      <c r="G11" s="30">
        <v>1</v>
      </c>
      <c r="H11" s="30" t="s">
        <v>95</v>
      </c>
      <c r="L11" s="30">
        <v>1</v>
      </c>
      <c r="M11" s="30" t="s">
        <v>113</v>
      </c>
      <c r="Q11" s="30">
        <v>1</v>
      </c>
      <c r="R11" s="30" t="s">
        <v>131</v>
      </c>
    </row>
    <row r="12" spans="1:18">
      <c r="A12" s="29" t="s">
        <v>72</v>
      </c>
      <c r="B12" s="31" t="s">
        <v>74</v>
      </c>
      <c r="C12" s="30" t="s">
        <v>75</v>
      </c>
      <c r="F12" s="29" t="s">
        <v>89</v>
      </c>
      <c r="G12" s="31" t="s">
        <v>105</v>
      </c>
      <c r="H12" s="30" t="s">
        <v>96</v>
      </c>
      <c r="K12" s="29" t="s">
        <v>110</v>
      </c>
      <c r="L12" s="31" t="s">
        <v>116</v>
      </c>
      <c r="M12" s="30" t="s">
        <v>114</v>
      </c>
      <c r="P12" s="29" t="s">
        <v>134</v>
      </c>
      <c r="Q12" s="31" t="s">
        <v>146</v>
      </c>
      <c r="R12" s="30" t="s">
        <v>141</v>
      </c>
    </row>
    <row r="13" spans="1:18">
      <c r="B13" s="30">
        <v>0</v>
      </c>
      <c r="C13" s="30" t="s">
        <v>76</v>
      </c>
      <c r="E13" s="32"/>
      <c r="G13" s="30">
        <v>0</v>
      </c>
      <c r="H13" s="30" t="s">
        <v>97</v>
      </c>
      <c r="L13" s="30">
        <v>0</v>
      </c>
      <c r="M13" s="30" t="s">
        <v>115</v>
      </c>
      <c r="Q13" s="30">
        <v>0</v>
      </c>
      <c r="R13" s="30" t="s">
        <v>142</v>
      </c>
    </row>
    <row r="15" spans="1:18">
      <c r="B15" s="30" t="s">
        <v>78</v>
      </c>
      <c r="C15" s="30" t="s">
        <v>80</v>
      </c>
      <c r="G15" s="30" t="s">
        <v>98</v>
      </c>
      <c r="H15" s="30" t="s">
        <v>100</v>
      </c>
      <c r="L15" s="30" t="s">
        <v>122</v>
      </c>
      <c r="M15" s="30" t="s">
        <v>117</v>
      </c>
      <c r="Q15" s="30" t="s">
        <v>147</v>
      </c>
      <c r="R15" s="30" t="s">
        <v>143</v>
      </c>
    </row>
    <row r="16" spans="1:18">
      <c r="A16" s="29" t="s">
        <v>77</v>
      </c>
      <c r="B16" s="31" t="s">
        <v>79</v>
      </c>
      <c r="C16" s="30" t="s">
        <v>81</v>
      </c>
      <c r="F16" s="29" t="s">
        <v>90</v>
      </c>
      <c r="G16" s="31" t="s">
        <v>99</v>
      </c>
      <c r="H16" s="30" t="s">
        <v>101</v>
      </c>
      <c r="K16" s="29" t="s">
        <v>111</v>
      </c>
      <c r="L16" s="31" t="s">
        <v>123</v>
      </c>
      <c r="M16" s="30" t="s">
        <v>118</v>
      </c>
      <c r="P16" s="29" t="s">
        <v>135</v>
      </c>
      <c r="Q16" s="31" t="s">
        <v>148</v>
      </c>
      <c r="R16" s="30" t="s">
        <v>145</v>
      </c>
    </row>
    <row r="17" spans="1:19">
      <c r="B17" s="30">
        <v>0</v>
      </c>
      <c r="C17" s="30" t="s">
        <v>86</v>
      </c>
      <c r="G17" s="30">
        <v>0</v>
      </c>
      <c r="H17" s="30" t="s">
        <v>102</v>
      </c>
      <c r="L17" s="30">
        <v>0</v>
      </c>
      <c r="M17" s="30" t="s">
        <v>119</v>
      </c>
      <c r="Q17" s="30">
        <v>0</v>
      </c>
      <c r="R17" s="30" t="s">
        <v>150</v>
      </c>
    </row>
    <row r="20" spans="1:19">
      <c r="B20" s="30">
        <v>0</v>
      </c>
      <c r="C20" s="30" t="s">
        <v>84</v>
      </c>
      <c r="G20" s="30">
        <v>0</v>
      </c>
      <c r="H20" s="30" t="s">
        <v>103</v>
      </c>
      <c r="L20" s="30">
        <v>0</v>
      </c>
      <c r="M20" s="30" t="s">
        <v>120</v>
      </c>
      <c r="Q20" s="30">
        <v>0</v>
      </c>
      <c r="R20" s="30" t="s">
        <v>144</v>
      </c>
    </row>
    <row r="21" spans="1:19">
      <c r="A21" s="29" t="s">
        <v>83</v>
      </c>
      <c r="B21" s="31" t="s">
        <v>85</v>
      </c>
      <c r="C21" s="30" t="s">
        <v>81</v>
      </c>
      <c r="F21" s="29" t="s">
        <v>91</v>
      </c>
      <c r="G21" s="31" t="s">
        <v>106</v>
      </c>
      <c r="H21" s="30" t="s">
        <v>101</v>
      </c>
      <c r="K21" s="29" t="s">
        <v>112</v>
      </c>
      <c r="L21" s="31" t="s">
        <v>124</v>
      </c>
      <c r="M21" s="30" t="s">
        <v>118</v>
      </c>
      <c r="P21" s="29" t="s">
        <v>136</v>
      </c>
      <c r="Q21" s="31" t="s">
        <v>149</v>
      </c>
      <c r="R21" s="30" t="s">
        <v>145</v>
      </c>
    </row>
    <row r="22" spans="1:19">
      <c r="B22" s="30">
        <v>1</v>
      </c>
      <c r="C22" s="30" t="s">
        <v>82</v>
      </c>
      <c r="G22" s="30">
        <v>1</v>
      </c>
      <c r="H22" s="30" t="s">
        <v>104</v>
      </c>
      <c r="L22" s="30">
        <v>1</v>
      </c>
      <c r="M22" s="30" t="s">
        <v>121</v>
      </c>
      <c r="Q22" s="30">
        <v>1</v>
      </c>
      <c r="R22" s="30" t="s">
        <v>140</v>
      </c>
    </row>
    <row r="25" spans="1:19">
      <c r="A25" s="2" t="s">
        <v>30</v>
      </c>
      <c r="B25" s="2" t="s">
        <v>25</v>
      </c>
      <c r="C25" s="33" t="s">
        <v>26</v>
      </c>
      <c r="D25" s="2" t="s">
        <v>27</v>
      </c>
      <c r="F25" s="2" t="s">
        <v>30</v>
      </c>
      <c r="G25" s="2" t="s">
        <v>87</v>
      </c>
      <c r="H25" s="33" t="s">
        <v>26</v>
      </c>
      <c r="I25" s="2" t="s">
        <v>88</v>
      </c>
      <c r="K25" s="2" t="s">
        <v>30</v>
      </c>
      <c r="L25" s="2" t="s">
        <v>109</v>
      </c>
      <c r="M25" s="33" t="s">
        <v>88</v>
      </c>
      <c r="N25" s="2" t="s">
        <v>27</v>
      </c>
      <c r="P25" s="2" t="s">
        <v>30</v>
      </c>
      <c r="Q25" s="2" t="s">
        <v>125</v>
      </c>
      <c r="R25" s="33" t="s">
        <v>126</v>
      </c>
      <c r="S25" s="2" t="s">
        <v>127</v>
      </c>
    </row>
    <row r="26" spans="1:19">
      <c r="A26" s="2">
        <v>21</v>
      </c>
      <c r="B26" s="2">
        <v>1</v>
      </c>
      <c r="C26" s="2">
        <v>0</v>
      </c>
      <c r="D26" s="2">
        <v>0</v>
      </c>
      <c r="F26" s="2">
        <v>60</v>
      </c>
      <c r="G26" s="2">
        <v>1</v>
      </c>
      <c r="H26" s="2">
        <v>0</v>
      </c>
      <c r="I26" s="2">
        <v>0</v>
      </c>
      <c r="K26" s="2">
        <v>1006</v>
      </c>
      <c r="L26" s="2">
        <v>1</v>
      </c>
      <c r="M26" s="2">
        <v>0</v>
      </c>
      <c r="N26" s="2">
        <v>0</v>
      </c>
      <c r="P26" s="2">
        <v>1</v>
      </c>
      <c r="Q26" s="2">
        <v>1</v>
      </c>
      <c r="R26" s="2">
        <v>0</v>
      </c>
      <c r="S26" s="2">
        <v>0</v>
      </c>
    </row>
    <row r="27" spans="1:19">
      <c r="A27" s="2">
        <v>21.5</v>
      </c>
      <c r="B27" s="2">
        <v>1</v>
      </c>
      <c r="C27" s="2">
        <v>0</v>
      </c>
      <c r="D27" s="2">
        <v>0</v>
      </c>
      <c r="F27" s="2">
        <v>61</v>
      </c>
      <c r="G27" s="2">
        <v>1</v>
      </c>
      <c r="H27" s="2">
        <v>0</v>
      </c>
      <c r="I27" s="2">
        <v>0</v>
      </c>
      <c r="K27" s="2">
        <v>1006.5</v>
      </c>
      <c r="L27" s="2">
        <v>1</v>
      </c>
      <c r="M27" s="2">
        <v>0</v>
      </c>
      <c r="N27" s="2">
        <v>0</v>
      </c>
      <c r="P27" s="2">
        <v>1.5</v>
      </c>
      <c r="Q27" s="2">
        <v>1</v>
      </c>
      <c r="R27" s="2">
        <v>0</v>
      </c>
      <c r="S27" s="2">
        <v>0</v>
      </c>
    </row>
    <row r="28" spans="1:19">
      <c r="A28" s="2">
        <v>22</v>
      </c>
      <c r="B28" s="2">
        <v>1</v>
      </c>
      <c r="C28" s="2">
        <v>0</v>
      </c>
      <c r="D28" s="2">
        <v>0</v>
      </c>
      <c r="F28" s="2">
        <v>62</v>
      </c>
      <c r="G28" s="2">
        <v>1</v>
      </c>
      <c r="H28" s="2">
        <v>0</v>
      </c>
      <c r="I28" s="2">
        <v>0</v>
      </c>
      <c r="K28" s="2">
        <v>1007</v>
      </c>
      <c r="L28" s="2">
        <v>1</v>
      </c>
      <c r="M28" s="2">
        <v>0</v>
      </c>
      <c r="N28" s="2">
        <v>0</v>
      </c>
      <c r="P28" s="2">
        <v>2</v>
      </c>
      <c r="Q28" s="2">
        <f>(4.5-P28)/(4.5-2)</f>
        <v>1</v>
      </c>
      <c r="R28" s="2">
        <f>(P28-2)/(4.5-2)</f>
        <v>0</v>
      </c>
      <c r="S28" s="2">
        <v>0</v>
      </c>
    </row>
    <row r="29" spans="1:19">
      <c r="A29" s="2">
        <v>22.5</v>
      </c>
      <c r="B29" s="2">
        <v>1</v>
      </c>
      <c r="C29" s="2">
        <v>0</v>
      </c>
      <c r="D29" s="2">
        <v>0</v>
      </c>
      <c r="F29" s="2">
        <v>63</v>
      </c>
      <c r="G29" s="2">
        <v>1</v>
      </c>
      <c r="H29" s="2">
        <v>0</v>
      </c>
      <c r="I29" s="2">
        <v>0</v>
      </c>
      <c r="K29" s="2">
        <v>1007.5</v>
      </c>
      <c r="L29" s="2">
        <v>1</v>
      </c>
      <c r="M29" s="2">
        <v>0</v>
      </c>
      <c r="N29" s="2">
        <v>0</v>
      </c>
      <c r="P29" s="2">
        <v>2.5</v>
      </c>
      <c r="Q29" s="2">
        <f t="shared" ref="Q29:Q33" si="0">(4.5-P29)/(4.5-2)</f>
        <v>0.8</v>
      </c>
      <c r="R29" s="2">
        <f>(P29-2)/(4.5-2)</f>
        <v>0.2</v>
      </c>
      <c r="S29" s="2">
        <v>0</v>
      </c>
    </row>
    <row r="30" spans="1:19">
      <c r="A30" s="2">
        <v>23</v>
      </c>
      <c r="B30" s="2">
        <v>1</v>
      </c>
      <c r="C30" s="2">
        <v>0</v>
      </c>
      <c r="D30" s="2">
        <v>0</v>
      </c>
      <c r="F30" s="2">
        <v>64</v>
      </c>
      <c r="G30" s="2">
        <v>1</v>
      </c>
      <c r="H30" s="2">
        <v>0</v>
      </c>
      <c r="I30" s="2">
        <v>0</v>
      </c>
      <c r="K30" s="2">
        <v>1008</v>
      </c>
      <c r="L30" s="2">
        <v>1</v>
      </c>
      <c r="M30" s="2">
        <v>0</v>
      </c>
      <c r="N30" s="2">
        <v>0</v>
      </c>
      <c r="P30" s="2">
        <v>3</v>
      </c>
      <c r="Q30" s="2">
        <f t="shared" si="0"/>
        <v>0.6</v>
      </c>
      <c r="R30" s="2">
        <f t="shared" ref="R30:R33" si="1">(P30-2)/(4.5-2)</f>
        <v>0.4</v>
      </c>
      <c r="S30" s="2">
        <v>0</v>
      </c>
    </row>
    <row r="31" spans="1:19">
      <c r="A31" s="2">
        <v>23.5</v>
      </c>
      <c r="B31" s="2">
        <v>1</v>
      </c>
      <c r="C31" s="2">
        <v>0</v>
      </c>
      <c r="D31" s="2">
        <v>0</v>
      </c>
      <c r="F31" s="2">
        <v>65</v>
      </c>
      <c r="G31" s="2">
        <v>1</v>
      </c>
      <c r="H31" s="2">
        <f>(F31-65)/(85-75)</f>
        <v>0</v>
      </c>
      <c r="I31" s="2">
        <v>0</v>
      </c>
      <c r="K31" s="2">
        <v>1008.5</v>
      </c>
      <c r="L31" s="2">
        <v>1</v>
      </c>
      <c r="M31" s="2">
        <v>0</v>
      </c>
      <c r="N31" s="2">
        <v>0</v>
      </c>
      <c r="P31" s="2">
        <v>3.5</v>
      </c>
      <c r="Q31" s="2">
        <f t="shared" si="0"/>
        <v>0.4</v>
      </c>
      <c r="R31" s="2">
        <f t="shared" si="1"/>
        <v>0.6</v>
      </c>
      <c r="S31" s="2">
        <v>0</v>
      </c>
    </row>
    <row r="32" spans="1:19">
      <c r="A32" s="2">
        <v>24</v>
      </c>
      <c r="B32" s="2">
        <v>1</v>
      </c>
      <c r="C32" s="2">
        <v>0</v>
      </c>
      <c r="D32" s="2">
        <v>0</v>
      </c>
      <c r="F32" s="2">
        <v>66</v>
      </c>
      <c r="G32" s="2">
        <f>(75-F32)/(75-65)</f>
        <v>0.9</v>
      </c>
      <c r="H32" s="2">
        <f t="shared" ref="H32:H41" si="2">(F32-65)/(85-75)</f>
        <v>0.1</v>
      </c>
      <c r="I32" s="2">
        <v>0</v>
      </c>
      <c r="K32" s="2">
        <v>1009</v>
      </c>
      <c r="L32" s="2">
        <f>(1010-K32)/(1010-1008.5)</f>
        <v>0.66666666666666663</v>
      </c>
      <c r="M32" s="2">
        <f>(K32-1008.5)/(1011-1008.5)</f>
        <v>0.2</v>
      </c>
      <c r="N32" s="2">
        <v>0</v>
      </c>
      <c r="P32" s="2">
        <v>4</v>
      </c>
      <c r="Q32" s="2">
        <f t="shared" si="0"/>
        <v>0.2</v>
      </c>
      <c r="R32" s="2">
        <f t="shared" si="1"/>
        <v>0.8</v>
      </c>
      <c r="S32" s="2">
        <v>0</v>
      </c>
    </row>
    <row r="33" spans="1:19">
      <c r="A33" s="2">
        <v>24.5</v>
      </c>
      <c r="B33" s="2">
        <v>1</v>
      </c>
      <c r="C33" s="2">
        <v>0</v>
      </c>
      <c r="D33" s="2">
        <v>0</v>
      </c>
      <c r="F33" s="2">
        <v>67</v>
      </c>
      <c r="G33" s="2">
        <f t="shared" ref="G33:G41" si="3">(75-F33)/(75-65)</f>
        <v>0.8</v>
      </c>
      <c r="H33" s="2">
        <f t="shared" si="2"/>
        <v>0.2</v>
      </c>
      <c r="I33" s="2">
        <v>0</v>
      </c>
      <c r="K33" s="2">
        <v>1009.5</v>
      </c>
      <c r="L33" s="2">
        <f t="shared" ref="L33:L34" si="4">(1010-K33)/(1010-1008.5)</f>
        <v>0.33333333333333331</v>
      </c>
      <c r="M33" s="2">
        <f t="shared" ref="M33:M36" si="5">(K33-1008.5)/(1011-1008.5)</f>
        <v>0.4</v>
      </c>
      <c r="N33" s="2">
        <v>0</v>
      </c>
      <c r="P33" s="2">
        <v>4.5</v>
      </c>
      <c r="Q33" s="2">
        <f t="shared" si="0"/>
        <v>0</v>
      </c>
      <c r="R33" s="2">
        <f t="shared" si="1"/>
        <v>1</v>
      </c>
      <c r="S33" s="2">
        <v>0</v>
      </c>
    </row>
    <row r="34" spans="1:19">
      <c r="A34" s="2">
        <v>25</v>
      </c>
      <c r="B34" s="2">
        <v>1</v>
      </c>
      <c r="C34" s="2">
        <v>0</v>
      </c>
      <c r="D34" s="2">
        <v>0</v>
      </c>
      <c r="F34" s="2">
        <v>68</v>
      </c>
      <c r="G34" s="2">
        <f t="shared" si="3"/>
        <v>0.7</v>
      </c>
      <c r="H34" s="2">
        <f t="shared" si="2"/>
        <v>0.3</v>
      </c>
      <c r="I34" s="2">
        <v>0</v>
      </c>
      <c r="K34" s="2">
        <v>1010</v>
      </c>
      <c r="L34" s="2">
        <f t="shared" si="4"/>
        <v>0</v>
      </c>
      <c r="M34" s="2">
        <f t="shared" si="5"/>
        <v>0.6</v>
      </c>
      <c r="N34" s="2">
        <v>0</v>
      </c>
      <c r="P34" s="2">
        <v>5</v>
      </c>
      <c r="Q34" s="2">
        <v>0</v>
      </c>
      <c r="R34" s="2">
        <f>(7-P34)/(7-4.5)</f>
        <v>0.8</v>
      </c>
      <c r="S34" s="2">
        <f>(P34-4.5)/(7-4.5)</f>
        <v>0.2</v>
      </c>
    </row>
    <row r="35" spans="1:19">
      <c r="A35" s="2">
        <v>25.5</v>
      </c>
      <c r="B35" s="2">
        <v>1</v>
      </c>
      <c r="C35" s="2">
        <v>0</v>
      </c>
      <c r="D35" s="2">
        <v>0</v>
      </c>
      <c r="F35" s="2">
        <v>69</v>
      </c>
      <c r="G35" s="2">
        <f t="shared" si="3"/>
        <v>0.6</v>
      </c>
      <c r="H35" s="2">
        <f t="shared" si="2"/>
        <v>0.4</v>
      </c>
      <c r="I35" s="2">
        <v>0</v>
      </c>
      <c r="K35" s="2">
        <v>1010.5</v>
      </c>
      <c r="L35" s="2">
        <v>0</v>
      </c>
      <c r="M35" s="2">
        <f t="shared" si="5"/>
        <v>0.8</v>
      </c>
      <c r="N35" s="2">
        <v>0</v>
      </c>
      <c r="P35" s="2">
        <v>5.5</v>
      </c>
      <c r="Q35" s="2">
        <v>0</v>
      </c>
      <c r="R35" s="2">
        <f t="shared" ref="R35:R38" si="6">(7-P35)/(7-4.5)</f>
        <v>0.6</v>
      </c>
      <c r="S35" s="2">
        <f t="shared" ref="S35:S38" si="7">(P35-4.5)/(7-4.5)</f>
        <v>0.4</v>
      </c>
    </row>
    <row r="36" spans="1:19">
      <c r="A36" s="2">
        <v>26</v>
      </c>
      <c r="B36" s="2">
        <v>1</v>
      </c>
      <c r="C36" s="2">
        <f>(A36-26)/(27.5-26)</f>
        <v>0</v>
      </c>
      <c r="D36" s="2">
        <v>0</v>
      </c>
      <c r="F36" s="2">
        <v>70</v>
      </c>
      <c r="G36" s="2">
        <f t="shared" si="3"/>
        <v>0.5</v>
      </c>
      <c r="H36" s="2">
        <f t="shared" si="2"/>
        <v>0.5</v>
      </c>
      <c r="I36" s="2">
        <v>0</v>
      </c>
      <c r="K36" s="2">
        <v>1011</v>
      </c>
      <c r="L36" s="2">
        <v>0</v>
      </c>
      <c r="M36" s="2">
        <f t="shared" si="5"/>
        <v>1</v>
      </c>
      <c r="N36" s="2">
        <v>0</v>
      </c>
      <c r="P36" s="2">
        <v>6</v>
      </c>
      <c r="Q36" s="2">
        <v>0</v>
      </c>
      <c r="R36" s="2">
        <f t="shared" si="6"/>
        <v>0.4</v>
      </c>
      <c r="S36" s="2">
        <f t="shared" si="7"/>
        <v>0.6</v>
      </c>
    </row>
    <row r="37" spans="1:19">
      <c r="A37" s="2">
        <v>26.5</v>
      </c>
      <c r="B37" s="2">
        <f>(27.5-A37)/(27.5-26)</f>
        <v>0.66666666666666663</v>
      </c>
      <c r="C37" s="2">
        <f t="shared" ref="C37:C39" si="8">(A37-26)/(27.5-26)</f>
        <v>0.33333333333333331</v>
      </c>
      <c r="D37" s="2">
        <v>0</v>
      </c>
      <c r="F37" s="2">
        <v>71</v>
      </c>
      <c r="G37" s="2">
        <f t="shared" si="3"/>
        <v>0.4</v>
      </c>
      <c r="H37" s="2">
        <f t="shared" si="2"/>
        <v>0.6</v>
      </c>
      <c r="I37" s="2">
        <v>0</v>
      </c>
      <c r="K37" s="2">
        <v>1011.5</v>
      </c>
      <c r="L37" s="2">
        <v>0</v>
      </c>
      <c r="M37" s="2">
        <f>(1013.5-K37)/(1013.5-1011)</f>
        <v>0.8</v>
      </c>
      <c r="N37" s="2">
        <f>(K37-1011)/(1013.5-1011)</f>
        <v>0.2</v>
      </c>
      <c r="P37" s="2">
        <v>6.5</v>
      </c>
      <c r="Q37" s="2">
        <v>0</v>
      </c>
      <c r="R37" s="2">
        <f>(7-P37)/(7-4.5)</f>
        <v>0.2</v>
      </c>
      <c r="S37" s="2">
        <f t="shared" si="7"/>
        <v>0.8</v>
      </c>
    </row>
    <row r="38" spans="1:19">
      <c r="A38" s="2">
        <v>27</v>
      </c>
      <c r="B38" s="2">
        <f t="shared" ref="B38:B39" si="9">(27.5-A38)/(27.5-26)</f>
        <v>0.33333333333333331</v>
      </c>
      <c r="C38" s="2">
        <f t="shared" si="8"/>
        <v>0.66666666666666663</v>
      </c>
      <c r="D38" s="2">
        <v>0</v>
      </c>
      <c r="F38" s="2">
        <v>72</v>
      </c>
      <c r="G38" s="2">
        <f>(75-F38)/(75-65)</f>
        <v>0.3</v>
      </c>
      <c r="H38" s="2">
        <f t="shared" si="2"/>
        <v>0.7</v>
      </c>
      <c r="I38" s="2">
        <v>0</v>
      </c>
      <c r="K38" s="2">
        <v>1012</v>
      </c>
      <c r="L38" s="2">
        <v>0</v>
      </c>
      <c r="M38" s="2">
        <f t="shared" ref="M38:M41" si="10">(1013.5-K38)/(1013.5-1011)</f>
        <v>0.6</v>
      </c>
      <c r="N38" s="2">
        <f t="shared" ref="N38:N41" si="11">(K38-1011)/(1013.5-1011)</f>
        <v>0.4</v>
      </c>
      <c r="P38" s="2">
        <v>7</v>
      </c>
      <c r="Q38" s="2">
        <v>0</v>
      </c>
      <c r="R38" s="2">
        <f t="shared" si="6"/>
        <v>0</v>
      </c>
      <c r="S38" s="2">
        <f t="shared" si="7"/>
        <v>1</v>
      </c>
    </row>
    <row r="39" spans="1:19">
      <c r="A39" s="2">
        <v>27.5</v>
      </c>
      <c r="B39" s="2">
        <f t="shared" si="9"/>
        <v>0</v>
      </c>
      <c r="C39" s="2">
        <f t="shared" si="8"/>
        <v>1</v>
      </c>
      <c r="D39" s="2">
        <v>0</v>
      </c>
      <c r="F39" s="2">
        <v>73</v>
      </c>
      <c r="G39" s="2">
        <f t="shared" si="3"/>
        <v>0.2</v>
      </c>
      <c r="H39" s="2">
        <f>(F39-65)/(85-75)</f>
        <v>0.8</v>
      </c>
      <c r="I39" s="2">
        <v>0</v>
      </c>
      <c r="K39" s="2">
        <v>1012.5</v>
      </c>
      <c r="L39" s="2">
        <v>0</v>
      </c>
      <c r="M39" s="2">
        <f t="shared" si="10"/>
        <v>0.4</v>
      </c>
      <c r="N39" s="2">
        <f t="shared" si="11"/>
        <v>0.6</v>
      </c>
      <c r="P39" s="2">
        <v>7.5</v>
      </c>
      <c r="Q39" s="2">
        <v>0</v>
      </c>
      <c r="R39" s="2">
        <v>0</v>
      </c>
      <c r="S39" s="2">
        <v>1</v>
      </c>
    </row>
    <row r="40" spans="1:19">
      <c r="A40" s="2">
        <v>28</v>
      </c>
      <c r="B40" s="2">
        <v>0</v>
      </c>
      <c r="C40" s="2">
        <f>(29-A40)/(29-27.5)</f>
        <v>0.66666666666666663</v>
      </c>
      <c r="D40" s="2">
        <f>(A40-27.5)/(29-27.5)</f>
        <v>0.33333333333333331</v>
      </c>
      <c r="F40" s="2">
        <v>74</v>
      </c>
      <c r="G40" s="2">
        <f t="shared" si="3"/>
        <v>0.1</v>
      </c>
      <c r="H40" s="2">
        <f t="shared" si="2"/>
        <v>0.9</v>
      </c>
      <c r="I40" s="2">
        <v>0</v>
      </c>
      <c r="K40" s="2">
        <v>1013</v>
      </c>
      <c r="L40" s="2">
        <v>0</v>
      </c>
      <c r="M40" s="2">
        <f t="shared" si="10"/>
        <v>0.2</v>
      </c>
      <c r="N40" s="2">
        <f t="shared" si="11"/>
        <v>0.8</v>
      </c>
      <c r="P40" s="2">
        <v>8</v>
      </c>
      <c r="Q40" s="2">
        <v>0</v>
      </c>
      <c r="R40" s="2">
        <v>0</v>
      </c>
      <c r="S40" s="2">
        <v>1</v>
      </c>
    </row>
    <row r="41" spans="1:19">
      <c r="A41" s="2">
        <v>28.5</v>
      </c>
      <c r="B41" s="2">
        <v>0</v>
      </c>
      <c r="C41" s="2">
        <f>(29-A41)/(29-27.5)</f>
        <v>0.33333333333333331</v>
      </c>
      <c r="D41" s="2">
        <f t="shared" ref="D41:D42" si="12">(A41-27.5)/(29-27.5)</f>
        <v>0.66666666666666663</v>
      </c>
      <c r="F41" s="2">
        <v>75</v>
      </c>
      <c r="G41" s="2">
        <f t="shared" si="3"/>
        <v>0</v>
      </c>
      <c r="H41" s="2">
        <f t="shared" si="2"/>
        <v>1</v>
      </c>
      <c r="I41" s="2">
        <v>0</v>
      </c>
      <c r="K41" s="2">
        <v>1013.5</v>
      </c>
      <c r="L41" s="2">
        <v>0</v>
      </c>
      <c r="M41" s="2">
        <f t="shared" si="10"/>
        <v>0</v>
      </c>
      <c r="N41" s="2">
        <f t="shared" si="11"/>
        <v>1</v>
      </c>
      <c r="P41" s="2">
        <v>8.5</v>
      </c>
      <c r="Q41" s="2">
        <v>0</v>
      </c>
      <c r="R41" s="2">
        <v>0</v>
      </c>
      <c r="S41" s="2">
        <v>1</v>
      </c>
    </row>
    <row r="42" spans="1:19">
      <c r="A42" s="2">
        <v>29</v>
      </c>
      <c r="B42" s="2">
        <v>0</v>
      </c>
      <c r="C42" s="2">
        <f>(29-A42)/(29-27.5)</f>
        <v>0</v>
      </c>
      <c r="D42" s="2">
        <f t="shared" si="12"/>
        <v>1</v>
      </c>
      <c r="F42" s="2">
        <v>76</v>
      </c>
      <c r="G42" s="2">
        <v>0</v>
      </c>
      <c r="H42" s="2">
        <f>(85-F42)/(85-75)</f>
        <v>0.9</v>
      </c>
      <c r="I42" s="2">
        <f t="shared" ref="I42:I50" si="13">(F42-75)/(85-75)</f>
        <v>0.1</v>
      </c>
      <c r="K42" s="2">
        <v>1014</v>
      </c>
      <c r="L42" s="2">
        <v>0</v>
      </c>
      <c r="M42" s="2">
        <v>0</v>
      </c>
      <c r="N42" s="2">
        <v>1</v>
      </c>
      <c r="P42" s="2">
        <v>9</v>
      </c>
      <c r="Q42" s="2">
        <v>0</v>
      </c>
      <c r="R42" s="2">
        <v>0</v>
      </c>
      <c r="S42" s="2">
        <v>1</v>
      </c>
    </row>
    <row r="43" spans="1:19">
      <c r="A43" s="2">
        <v>29.5</v>
      </c>
      <c r="B43" s="2">
        <v>0</v>
      </c>
      <c r="C43" s="2">
        <v>0</v>
      </c>
      <c r="D43" s="2">
        <v>1</v>
      </c>
      <c r="F43" s="2">
        <v>77</v>
      </c>
      <c r="G43" s="2">
        <v>0</v>
      </c>
      <c r="H43" s="2">
        <f t="shared" ref="H43:H51" si="14">(85-F43)/(85-75)</f>
        <v>0.8</v>
      </c>
      <c r="I43" s="2">
        <f t="shared" si="13"/>
        <v>0.2</v>
      </c>
      <c r="K43" s="2">
        <v>1014.5</v>
      </c>
      <c r="L43" s="2">
        <v>0</v>
      </c>
      <c r="M43" s="2">
        <v>0</v>
      </c>
      <c r="N43" s="2">
        <v>1</v>
      </c>
      <c r="P43" s="2">
        <v>9.5</v>
      </c>
      <c r="Q43" s="2">
        <v>0</v>
      </c>
      <c r="R43" s="2">
        <v>0</v>
      </c>
      <c r="S43" s="2">
        <v>1</v>
      </c>
    </row>
    <row r="44" spans="1:19">
      <c r="A44" s="2">
        <v>30</v>
      </c>
      <c r="B44" s="2">
        <v>0</v>
      </c>
      <c r="C44" s="2">
        <v>0</v>
      </c>
      <c r="D44" s="2">
        <v>1</v>
      </c>
      <c r="F44" s="2">
        <v>78</v>
      </c>
      <c r="G44" s="2">
        <v>0</v>
      </c>
      <c r="H44" s="2">
        <f t="shared" si="14"/>
        <v>0.7</v>
      </c>
      <c r="I44" s="2">
        <f t="shared" si="13"/>
        <v>0.3</v>
      </c>
      <c r="K44" s="2">
        <v>1015</v>
      </c>
      <c r="L44" s="2">
        <v>0</v>
      </c>
      <c r="M44" s="2">
        <v>0</v>
      </c>
      <c r="N44" s="2">
        <v>1</v>
      </c>
      <c r="P44" s="2">
        <v>10</v>
      </c>
      <c r="Q44" s="2">
        <v>0</v>
      </c>
      <c r="R44" s="2">
        <v>0</v>
      </c>
      <c r="S44" s="2">
        <v>1</v>
      </c>
    </row>
    <row r="45" spans="1:19">
      <c r="A45" s="2">
        <v>30.5</v>
      </c>
      <c r="B45" s="2">
        <v>0</v>
      </c>
      <c r="C45" s="2">
        <v>0</v>
      </c>
      <c r="D45" s="2">
        <v>1</v>
      </c>
      <c r="F45" s="2">
        <v>79</v>
      </c>
      <c r="G45" s="2">
        <v>0</v>
      </c>
      <c r="H45" s="2">
        <f t="shared" si="14"/>
        <v>0.6</v>
      </c>
      <c r="I45" s="2">
        <f t="shared" si="13"/>
        <v>0.4</v>
      </c>
      <c r="K45" s="2">
        <v>1015.5</v>
      </c>
      <c r="L45" s="2">
        <v>0</v>
      </c>
      <c r="M45" s="2">
        <v>0</v>
      </c>
      <c r="N45" s="2">
        <v>1</v>
      </c>
    </row>
    <row r="46" spans="1:19">
      <c r="A46" s="2">
        <v>31</v>
      </c>
      <c r="B46" s="2">
        <v>0</v>
      </c>
      <c r="C46" s="2">
        <v>0</v>
      </c>
      <c r="D46" s="2">
        <v>1</v>
      </c>
      <c r="F46" s="2">
        <v>80</v>
      </c>
      <c r="G46" s="2">
        <v>0</v>
      </c>
      <c r="H46" s="2">
        <f t="shared" si="14"/>
        <v>0.5</v>
      </c>
      <c r="I46" s="2">
        <f t="shared" si="13"/>
        <v>0.5</v>
      </c>
      <c r="K46" s="2">
        <v>1016</v>
      </c>
      <c r="L46" s="2">
        <v>0</v>
      </c>
      <c r="M46" s="2">
        <v>0</v>
      </c>
      <c r="N46" s="2">
        <v>1</v>
      </c>
    </row>
    <row r="47" spans="1:19">
      <c r="A47" s="2">
        <v>31.5</v>
      </c>
      <c r="B47" s="2">
        <v>0</v>
      </c>
      <c r="C47" s="2">
        <v>0</v>
      </c>
      <c r="D47" s="2">
        <v>1</v>
      </c>
      <c r="F47" s="2">
        <v>81</v>
      </c>
      <c r="G47" s="2">
        <v>0</v>
      </c>
      <c r="H47" s="2">
        <f t="shared" si="14"/>
        <v>0.4</v>
      </c>
      <c r="I47" s="2">
        <f t="shared" si="13"/>
        <v>0.6</v>
      </c>
      <c r="K47" s="2">
        <v>1016.5</v>
      </c>
      <c r="L47" s="2">
        <v>0</v>
      </c>
      <c r="M47" s="2">
        <v>0</v>
      </c>
      <c r="N47" s="2">
        <v>1</v>
      </c>
    </row>
    <row r="48" spans="1:19">
      <c r="A48" s="2">
        <v>32</v>
      </c>
      <c r="B48" s="2">
        <v>0</v>
      </c>
      <c r="C48" s="2">
        <v>0</v>
      </c>
      <c r="D48" s="2">
        <v>1</v>
      </c>
      <c r="F48" s="2">
        <v>82</v>
      </c>
      <c r="G48" s="2">
        <v>0</v>
      </c>
      <c r="H48" s="2">
        <f t="shared" si="14"/>
        <v>0.3</v>
      </c>
      <c r="I48" s="2">
        <f t="shared" si="13"/>
        <v>0.7</v>
      </c>
      <c r="K48" s="2">
        <v>1017</v>
      </c>
      <c r="L48" s="2">
        <v>0</v>
      </c>
      <c r="M48" s="2">
        <v>0</v>
      </c>
      <c r="N48" s="2">
        <v>1</v>
      </c>
    </row>
    <row r="49" spans="6:9">
      <c r="F49" s="2">
        <v>83</v>
      </c>
      <c r="G49" s="2">
        <v>0</v>
      </c>
      <c r="H49" s="2">
        <f t="shared" si="14"/>
        <v>0.2</v>
      </c>
      <c r="I49" s="2">
        <f t="shared" si="13"/>
        <v>0.8</v>
      </c>
    </row>
    <row r="50" spans="6:9">
      <c r="F50" s="2">
        <v>84</v>
      </c>
      <c r="G50" s="2">
        <v>0</v>
      </c>
      <c r="H50" s="2">
        <f t="shared" si="14"/>
        <v>0.1</v>
      </c>
      <c r="I50" s="2">
        <f t="shared" si="13"/>
        <v>0.9</v>
      </c>
    </row>
    <row r="51" spans="6:9">
      <c r="F51" s="2">
        <v>85</v>
      </c>
      <c r="G51" s="2">
        <v>0</v>
      </c>
      <c r="H51" s="2">
        <f t="shared" si="14"/>
        <v>0</v>
      </c>
      <c r="I51" s="2">
        <f>(F51-75)/(85-75)</f>
        <v>1</v>
      </c>
    </row>
    <row r="52" spans="6:9">
      <c r="F52" s="2">
        <v>86</v>
      </c>
      <c r="G52" s="2">
        <v>0</v>
      </c>
      <c r="H52" s="2">
        <v>0</v>
      </c>
      <c r="I52" s="2">
        <v>1</v>
      </c>
    </row>
    <row r="53" spans="6:9">
      <c r="F53" s="2">
        <v>87</v>
      </c>
      <c r="G53" s="2">
        <v>0</v>
      </c>
      <c r="H53" s="2">
        <v>0</v>
      </c>
      <c r="I53" s="2">
        <v>1</v>
      </c>
    </row>
    <row r="54" spans="6:9">
      <c r="F54" s="2">
        <v>88</v>
      </c>
      <c r="G54" s="2">
        <v>0</v>
      </c>
      <c r="H54" s="2">
        <v>0</v>
      </c>
      <c r="I54" s="2">
        <v>1</v>
      </c>
    </row>
    <row r="55" spans="6:9">
      <c r="F55" s="2">
        <v>89</v>
      </c>
      <c r="G55" s="2">
        <v>0</v>
      </c>
      <c r="H55" s="2">
        <v>0</v>
      </c>
      <c r="I55" s="2">
        <v>1</v>
      </c>
    </row>
    <row r="56" spans="6:9">
      <c r="F56" s="2">
        <v>90</v>
      </c>
      <c r="G56" s="2">
        <v>0</v>
      </c>
      <c r="H56" s="2">
        <v>0</v>
      </c>
      <c r="I56" s="2">
        <v>1</v>
      </c>
    </row>
    <row r="57" spans="6:9">
      <c r="F57" s="2">
        <v>91</v>
      </c>
      <c r="G57" s="2">
        <v>0</v>
      </c>
      <c r="H57" s="2">
        <v>0</v>
      </c>
      <c r="I57" s="2">
        <v>1</v>
      </c>
    </row>
    <row r="58" spans="6:9">
      <c r="F58" s="2">
        <v>92</v>
      </c>
      <c r="G58" s="2">
        <v>0</v>
      </c>
      <c r="H58" s="2">
        <v>0</v>
      </c>
      <c r="I58" s="2">
        <v>1</v>
      </c>
    </row>
    <row r="59" spans="6:9">
      <c r="F59" s="2">
        <v>93</v>
      </c>
      <c r="G59" s="2">
        <v>0</v>
      </c>
      <c r="H59" s="2">
        <v>0</v>
      </c>
      <c r="I59" s="2">
        <v>1</v>
      </c>
    </row>
    <row r="60" spans="6:9">
      <c r="F60" s="2">
        <v>94</v>
      </c>
      <c r="G60" s="2">
        <v>0</v>
      </c>
      <c r="H60" s="2">
        <v>0</v>
      </c>
      <c r="I60" s="2">
        <v>1</v>
      </c>
    </row>
    <row r="61" spans="6:9">
      <c r="F61" s="2">
        <v>95</v>
      </c>
      <c r="G61" s="2">
        <v>0</v>
      </c>
      <c r="H61" s="2">
        <v>0</v>
      </c>
      <c r="I61" s="2">
        <v>1</v>
      </c>
    </row>
    <row r="62" spans="6:9">
      <c r="F62" s="2">
        <v>96</v>
      </c>
      <c r="G62" s="2">
        <v>0</v>
      </c>
      <c r="H62" s="2">
        <v>0</v>
      </c>
      <c r="I62" s="2">
        <v>1</v>
      </c>
    </row>
    <row r="63" spans="6:9">
      <c r="F63" s="2">
        <v>97</v>
      </c>
      <c r="G63" s="2">
        <v>0</v>
      </c>
      <c r="H63" s="2">
        <v>0</v>
      </c>
      <c r="I63" s="2">
        <v>1</v>
      </c>
    </row>
    <row r="64" spans="6:9">
      <c r="F64" s="2">
        <v>98</v>
      </c>
      <c r="G64" s="2">
        <v>0</v>
      </c>
      <c r="H64" s="2">
        <v>0</v>
      </c>
      <c r="I64" s="2">
        <v>1</v>
      </c>
    </row>
    <row r="65" spans="1:15">
      <c r="F65" s="2">
        <v>99</v>
      </c>
      <c r="G65" s="2">
        <v>0</v>
      </c>
      <c r="H65" s="2">
        <v>0</v>
      </c>
      <c r="I65" s="2">
        <v>1</v>
      </c>
    </row>
    <row r="66" spans="1:15">
      <c r="F66" s="2">
        <v>100</v>
      </c>
      <c r="G66" s="2">
        <v>0</v>
      </c>
      <c r="H66" s="2">
        <v>0</v>
      </c>
      <c r="I66" s="2">
        <v>1</v>
      </c>
    </row>
    <row r="68" spans="1:15">
      <c r="A68" t="s">
        <v>174</v>
      </c>
    </row>
    <row r="70" spans="1:15">
      <c r="A70" s="77" t="s">
        <v>69</v>
      </c>
      <c r="B70" s="79" t="s">
        <v>70</v>
      </c>
    </row>
    <row r="71" spans="1:15">
      <c r="A71" s="78"/>
      <c r="B71" s="80"/>
    </row>
    <row r="72" spans="1:15">
      <c r="A72" s="2" t="s">
        <v>175</v>
      </c>
      <c r="B72" s="2" t="s">
        <v>179</v>
      </c>
    </row>
    <row r="73" spans="1:15">
      <c r="A73" s="2" t="s">
        <v>176</v>
      </c>
      <c r="B73" s="2" t="s">
        <v>180</v>
      </c>
    </row>
    <row r="74" spans="1:15">
      <c r="A74" s="2" t="s">
        <v>177</v>
      </c>
      <c r="B74" s="2" t="s">
        <v>181</v>
      </c>
    </row>
    <row r="75" spans="1:15">
      <c r="A75" s="2" t="s">
        <v>178</v>
      </c>
      <c r="B75" s="2" t="s">
        <v>182</v>
      </c>
    </row>
    <row r="78" spans="1:15" ht="15" customHeight="1"/>
    <row r="80" spans="1:15">
      <c r="B80" s="30">
        <v>1</v>
      </c>
      <c r="C80" s="30" t="s">
        <v>131</v>
      </c>
      <c r="E80" s="2" t="s">
        <v>30</v>
      </c>
      <c r="F80" s="2" t="s">
        <v>175</v>
      </c>
      <c r="G80" s="2" t="s">
        <v>176</v>
      </c>
      <c r="H80" s="2" t="s">
        <v>177</v>
      </c>
      <c r="I80" s="2" t="s">
        <v>178</v>
      </c>
      <c r="K80" s="76" t="s">
        <v>30</v>
      </c>
      <c r="L80" s="76" t="s">
        <v>175</v>
      </c>
      <c r="M80" s="76" t="s">
        <v>176</v>
      </c>
      <c r="N80" s="76" t="s">
        <v>177</v>
      </c>
      <c r="O80" s="76" t="s">
        <v>178</v>
      </c>
    </row>
    <row r="81" spans="1:15">
      <c r="A81" s="29" t="s">
        <v>183</v>
      </c>
      <c r="B81" s="31" t="s">
        <v>187</v>
      </c>
      <c r="C81" s="30" t="s">
        <v>132</v>
      </c>
      <c r="E81" s="2">
        <v>0</v>
      </c>
      <c r="F81" s="2">
        <v>1</v>
      </c>
      <c r="G81" s="2">
        <v>0</v>
      </c>
      <c r="H81" s="2">
        <v>0</v>
      </c>
      <c r="I81" s="2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</row>
    <row r="82" spans="1:15">
      <c r="B82" s="30">
        <v>0</v>
      </c>
      <c r="C82" s="30" t="s">
        <v>133</v>
      </c>
      <c r="E82" s="2">
        <v>1</v>
      </c>
      <c r="F82" s="2">
        <v>1</v>
      </c>
      <c r="G82" s="2">
        <v>0</v>
      </c>
      <c r="H82" s="2">
        <v>0</v>
      </c>
      <c r="I82" s="2">
        <v>0</v>
      </c>
      <c r="K82" s="76">
        <v>1</v>
      </c>
      <c r="L82" s="76">
        <v>0</v>
      </c>
      <c r="M82" s="76">
        <v>0</v>
      </c>
      <c r="N82" s="76">
        <v>0</v>
      </c>
      <c r="O82" s="76">
        <v>0</v>
      </c>
    </row>
    <row r="83" spans="1:15">
      <c r="E83" s="2">
        <v>2</v>
      </c>
      <c r="F83" s="2">
        <v>1</v>
      </c>
      <c r="G83" s="2">
        <v>0</v>
      </c>
      <c r="H83" s="2">
        <v>0</v>
      </c>
      <c r="I83" s="2">
        <v>0</v>
      </c>
      <c r="K83" s="76">
        <v>2</v>
      </c>
      <c r="L83" s="76">
        <v>0</v>
      </c>
      <c r="M83" s="76">
        <v>0</v>
      </c>
      <c r="N83" s="76">
        <v>0</v>
      </c>
      <c r="O83" s="76">
        <v>0</v>
      </c>
    </row>
    <row r="84" spans="1:15">
      <c r="B84" s="30" t="s">
        <v>188</v>
      </c>
      <c r="C84" s="30" t="s">
        <v>190</v>
      </c>
      <c r="E84" s="2">
        <v>3</v>
      </c>
      <c r="F84" s="2">
        <f>(4-E84)/(4-2)</f>
        <v>0.5</v>
      </c>
      <c r="G84" s="2">
        <f>(E84-2)/(8-2)</f>
        <v>0.16666666666666666</v>
      </c>
      <c r="H84" s="2">
        <v>0</v>
      </c>
      <c r="I84" s="2">
        <v>0</v>
      </c>
      <c r="K84" s="76">
        <v>3</v>
      </c>
      <c r="L84" s="76">
        <v>0</v>
      </c>
      <c r="M84" s="76">
        <v>2.5000000000000001E-2</v>
      </c>
      <c r="N84" s="76">
        <v>0</v>
      </c>
      <c r="O84" s="76">
        <v>0</v>
      </c>
    </row>
    <row r="85" spans="1:15">
      <c r="A85" s="29" t="s">
        <v>184</v>
      </c>
      <c r="B85" s="31" t="s">
        <v>189</v>
      </c>
      <c r="C85" s="30" t="s">
        <v>191</v>
      </c>
      <c r="E85" s="2">
        <v>4</v>
      </c>
      <c r="F85" s="2">
        <f>(4-E85)/(4-2)</f>
        <v>0</v>
      </c>
      <c r="G85" s="2">
        <f t="shared" ref="G85:G89" si="15">(E85-2)/(8-2)</f>
        <v>0.33333333333333331</v>
      </c>
      <c r="H85" s="2">
        <v>0</v>
      </c>
      <c r="I85" s="2">
        <v>0</v>
      </c>
      <c r="K85" s="76">
        <v>4</v>
      </c>
      <c r="L85" s="76">
        <v>0</v>
      </c>
      <c r="M85" s="76">
        <v>2.5000000000000001E-2</v>
      </c>
      <c r="N85" s="76">
        <v>0</v>
      </c>
      <c r="O85" s="76">
        <v>0</v>
      </c>
    </row>
    <row r="86" spans="1:15">
      <c r="B86" s="30">
        <v>0</v>
      </c>
      <c r="C86" s="30" t="s">
        <v>192</v>
      </c>
      <c r="E86" s="2">
        <v>5</v>
      </c>
      <c r="F86" s="2">
        <v>0</v>
      </c>
      <c r="G86" s="2">
        <f t="shared" si="15"/>
        <v>0.5</v>
      </c>
      <c r="H86" s="2">
        <v>0</v>
      </c>
      <c r="I86" s="2">
        <v>0</v>
      </c>
      <c r="K86" s="76">
        <v>5</v>
      </c>
      <c r="L86" s="76">
        <v>0</v>
      </c>
      <c r="M86" s="76">
        <v>2.5000000000000001E-2</v>
      </c>
      <c r="N86" s="76">
        <v>0</v>
      </c>
      <c r="O86" s="76">
        <v>0</v>
      </c>
    </row>
    <row r="87" spans="1:15">
      <c r="E87" s="2">
        <v>6</v>
      </c>
      <c r="F87" s="2">
        <v>0</v>
      </c>
      <c r="G87" s="2">
        <f t="shared" si="15"/>
        <v>0.66666666666666663</v>
      </c>
      <c r="H87" s="2">
        <v>0</v>
      </c>
      <c r="I87" s="2">
        <v>0</v>
      </c>
      <c r="K87" s="76">
        <v>6</v>
      </c>
      <c r="L87" s="76">
        <v>0</v>
      </c>
      <c r="M87" s="76">
        <v>2.5000000000000001E-2</v>
      </c>
      <c r="N87" s="76">
        <v>0</v>
      </c>
      <c r="O87" s="76">
        <v>0</v>
      </c>
    </row>
    <row r="88" spans="1:15">
      <c r="E88" s="2">
        <v>7</v>
      </c>
      <c r="F88" s="2">
        <v>0</v>
      </c>
      <c r="G88" s="2">
        <f t="shared" si="15"/>
        <v>0.83333333333333337</v>
      </c>
      <c r="H88" s="2">
        <f>(E88-6)/(14-6)</f>
        <v>0.125</v>
      </c>
      <c r="I88" s="2">
        <v>0</v>
      </c>
      <c r="K88" s="76">
        <v>7</v>
      </c>
      <c r="L88" s="76">
        <v>0</v>
      </c>
      <c r="M88" s="76">
        <v>2.5000000000000001E-2</v>
      </c>
      <c r="N88" s="76">
        <v>0</v>
      </c>
      <c r="O88" s="76">
        <v>0</v>
      </c>
    </row>
    <row r="89" spans="1:15">
      <c r="B89" s="30" t="s">
        <v>193</v>
      </c>
      <c r="C89" s="30" t="s">
        <v>196</v>
      </c>
      <c r="E89" s="2">
        <v>8</v>
      </c>
      <c r="F89" s="2">
        <v>0</v>
      </c>
      <c r="G89" s="2">
        <f t="shared" si="15"/>
        <v>1</v>
      </c>
      <c r="H89" s="2">
        <f t="shared" ref="H89:H94" si="16">(E89-6)/(14-6)</f>
        <v>0.25</v>
      </c>
      <c r="I89" s="2">
        <v>0</v>
      </c>
      <c r="K89" s="76">
        <v>8</v>
      </c>
      <c r="L89" s="76">
        <v>0</v>
      </c>
      <c r="M89" s="76">
        <v>2.5000000000000001E-2</v>
      </c>
      <c r="N89" s="76">
        <v>0</v>
      </c>
      <c r="O89" s="76">
        <v>0</v>
      </c>
    </row>
    <row r="90" spans="1:15">
      <c r="A90" s="29" t="s">
        <v>185</v>
      </c>
      <c r="B90" s="31" t="s">
        <v>194</v>
      </c>
      <c r="C90" s="30" t="s">
        <v>197</v>
      </c>
      <c r="E90" s="2">
        <v>9</v>
      </c>
      <c r="F90" s="2">
        <v>0</v>
      </c>
      <c r="G90" s="2">
        <f>(14-E90)/(14-8)</f>
        <v>0.83333333333333337</v>
      </c>
      <c r="H90" s="2">
        <f t="shared" si="16"/>
        <v>0.375</v>
      </c>
      <c r="I90" s="2">
        <v>0</v>
      </c>
      <c r="K90" s="76">
        <v>9</v>
      </c>
      <c r="L90" s="76">
        <v>0</v>
      </c>
      <c r="M90" s="76">
        <v>2.5000000000000001E-2</v>
      </c>
      <c r="N90" s="76">
        <v>0</v>
      </c>
      <c r="O90" s="76">
        <v>0</v>
      </c>
    </row>
    <row r="91" spans="1:15">
      <c r="B91" s="30">
        <v>0</v>
      </c>
      <c r="C91" s="30" t="s">
        <v>198</v>
      </c>
      <c r="E91" s="2">
        <v>10</v>
      </c>
      <c r="F91" s="2">
        <v>0</v>
      </c>
      <c r="G91" s="2">
        <f t="shared" ref="G91:G95" si="17">(14-E91)/(14-8)</f>
        <v>0.66666666666666663</v>
      </c>
      <c r="H91" s="2">
        <f t="shared" si="16"/>
        <v>0.5</v>
      </c>
      <c r="I91" s="2">
        <v>0</v>
      </c>
      <c r="K91" s="76">
        <v>10</v>
      </c>
      <c r="L91" s="76">
        <v>0</v>
      </c>
      <c r="M91" s="76">
        <v>2.5000000000000001E-2</v>
      </c>
      <c r="N91" s="76">
        <v>0</v>
      </c>
      <c r="O91" s="76">
        <v>0</v>
      </c>
    </row>
    <row r="92" spans="1:15">
      <c r="E92" s="2">
        <v>11</v>
      </c>
      <c r="F92" s="2">
        <v>0</v>
      </c>
      <c r="G92" s="2">
        <f t="shared" si="17"/>
        <v>0.5</v>
      </c>
      <c r="H92" s="2">
        <f t="shared" si="16"/>
        <v>0.625</v>
      </c>
      <c r="I92" s="2">
        <v>0</v>
      </c>
      <c r="K92" s="76">
        <v>11</v>
      </c>
      <c r="L92" s="76">
        <v>0</v>
      </c>
      <c r="M92" s="76">
        <v>2.5000000000000001E-2</v>
      </c>
      <c r="N92" s="76">
        <v>0</v>
      </c>
      <c r="O92" s="76">
        <v>0</v>
      </c>
    </row>
    <row r="93" spans="1:15">
      <c r="E93" s="2">
        <v>12</v>
      </c>
      <c r="F93" s="2">
        <v>0</v>
      </c>
      <c r="G93" s="2">
        <f t="shared" si="17"/>
        <v>0.33333333333333331</v>
      </c>
      <c r="H93" s="2">
        <f t="shared" si="16"/>
        <v>0.75</v>
      </c>
      <c r="I93" s="2">
        <v>0</v>
      </c>
      <c r="K93" s="76">
        <v>12</v>
      </c>
      <c r="L93" s="76">
        <v>0</v>
      </c>
      <c r="M93" s="76">
        <v>2.5000000000000001E-2</v>
      </c>
      <c r="N93" s="76">
        <v>0</v>
      </c>
      <c r="O93" s="76">
        <v>0</v>
      </c>
    </row>
    <row r="94" spans="1:15">
      <c r="B94" s="30">
        <v>0</v>
      </c>
      <c r="C94" s="30" t="s">
        <v>199</v>
      </c>
      <c r="E94" s="2">
        <v>13</v>
      </c>
      <c r="F94" s="2">
        <v>0</v>
      </c>
      <c r="G94" s="2">
        <f t="shared" si="17"/>
        <v>0.16666666666666666</v>
      </c>
      <c r="H94" s="2">
        <f t="shared" si="16"/>
        <v>0.875</v>
      </c>
      <c r="I94" s="2">
        <v>0</v>
      </c>
      <c r="K94" s="76">
        <v>13</v>
      </c>
      <c r="L94" s="76">
        <v>0</v>
      </c>
      <c r="M94" s="76">
        <v>2.5000000000000001E-2</v>
      </c>
      <c r="N94" s="76">
        <v>0</v>
      </c>
      <c r="O94" s="76">
        <v>0</v>
      </c>
    </row>
    <row r="95" spans="1:15">
      <c r="A95" s="29" t="s">
        <v>186</v>
      </c>
      <c r="B95" s="31" t="s">
        <v>195</v>
      </c>
      <c r="C95" s="30" t="s">
        <v>197</v>
      </c>
      <c r="E95" s="2">
        <v>14</v>
      </c>
      <c r="F95" s="2">
        <v>0</v>
      </c>
      <c r="G95" s="2">
        <f t="shared" si="17"/>
        <v>0</v>
      </c>
      <c r="H95" s="2">
        <f>(E95-6)/(14-6)</f>
        <v>1</v>
      </c>
      <c r="I95" s="2">
        <v>0</v>
      </c>
      <c r="K95" s="76">
        <v>14</v>
      </c>
      <c r="L95" s="76">
        <v>0</v>
      </c>
      <c r="M95" s="76">
        <v>0</v>
      </c>
      <c r="N95" s="76">
        <v>0</v>
      </c>
      <c r="O95" s="76">
        <v>0</v>
      </c>
    </row>
    <row r="96" spans="1:15">
      <c r="B96" s="30">
        <v>1</v>
      </c>
      <c r="C96" s="30" t="s">
        <v>200</v>
      </c>
      <c r="E96" s="2">
        <v>15</v>
      </c>
      <c r="F96" s="2">
        <v>0</v>
      </c>
      <c r="G96" s="2">
        <v>0</v>
      </c>
      <c r="H96" s="2">
        <f>(22-E96)/(22-14)</f>
        <v>0.875</v>
      </c>
      <c r="I96" s="2">
        <f>(E96-14)/(22-14)</f>
        <v>0.125</v>
      </c>
      <c r="K96" s="76">
        <v>15</v>
      </c>
      <c r="L96" s="76">
        <v>0</v>
      </c>
      <c r="M96" s="76">
        <v>0</v>
      </c>
      <c r="N96" s="76">
        <v>0</v>
      </c>
      <c r="O96" s="76">
        <v>0</v>
      </c>
    </row>
    <row r="97" spans="1:15">
      <c r="E97" s="2">
        <v>16</v>
      </c>
      <c r="F97" s="2">
        <v>0</v>
      </c>
      <c r="G97" s="2">
        <v>0</v>
      </c>
      <c r="H97" s="2">
        <f t="shared" ref="H97:H103" si="18">(22-E97)/(22-14)</f>
        <v>0.75</v>
      </c>
      <c r="I97" s="2">
        <f t="shared" ref="I97:I102" si="19">(E97-14)/(22-14)</f>
        <v>0.25</v>
      </c>
      <c r="K97" s="76">
        <v>16</v>
      </c>
      <c r="L97" s="76">
        <v>0</v>
      </c>
      <c r="M97" s="76">
        <v>0</v>
      </c>
      <c r="N97" s="76">
        <v>0</v>
      </c>
      <c r="O97" s="76">
        <v>0</v>
      </c>
    </row>
    <row r="98" spans="1:15">
      <c r="E98" s="2">
        <v>17</v>
      </c>
      <c r="F98" s="2">
        <v>0</v>
      </c>
      <c r="G98" s="2">
        <v>0</v>
      </c>
      <c r="H98" s="2">
        <f>(22-E98)/(22-14)</f>
        <v>0.625</v>
      </c>
      <c r="I98" s="2">
        <f>(E98-14)/(22-14)</f>
        <v>0.375</v>
      </c>
      <c r="K98" s="76">
        <v>17</v>
      </c>
      <c r="L98" s="76">
        <v>0</v>
      </c>
      <c r="M98" s="76">
        <v>0</v>
      </c>
      <c r="N98" s="76">
        <v>0</v>
      </c>
      <c r="O98" s="76">
        <v>0</v>
      </c>
    </row>
    <row r="99" spans="1:15">
      <c r="E99" s="2">
        <v>18</v>
      </c>
      <c r="F99" s="2">
        <v>0</v>
      </c>
      <c r="G99" s="2">
        <v>0</v>
      </c>
      <c r="H99" s="2">
        <f t="shared" si="18"/>
        <v>0.5</v>
      </c>
      <c r="I99" s="2">
        <f t="shared" si="19"/>
        <v>0.5</v>
      </c>
      <c r="K99" s="76">
        <v>18</v>
      </c>
      <c r="L99" s="76">
        <v>0</v>
      </c>
      <c r="M99" s="76">
        <v>0</v>
      </c>
      <c r="N99" s="76">
        <v>0</v>
      </c>
      <c r="O99" s="76">
        <v>0</v>
      </c>
    </row>
    <row r="100" spans="1:15">
      <c r="E100" s="2">
        <v>19</v>
      </c>
      <c r="F100" s="2">
        <v>0</v>
      </c>
      <c r="G100" s="2">
        <v>0</v>
      </c>
      <c r="H100" s="2">
        <f t="shared" si="18"/>
        <v>0.375</v>
      </c>
      <c r="I100" s="2">
        <f t="shared" si="19"/>
        <v>0.625</v>
      </c>
      <c r="K100" s="76">
        <v>19</v>
      </c>
      <c r="L100" s="76">
        <v>0</v>
      </c>
      <c r="M100" s="76">
        <v>0</v>
      </c>
      <c r="N100" s="76">
        <v>0</v>
      </c>
      <c r="O100" s="76">
        <v>0</v>
      </c>
    </row>
    <row r="101" spans="1:15">
      <c r="E101" s="2">
        <v>20</v>
      </c>
      <c r="F101" s="2">
        <v>0</v>
      </c>
      <c r="G101" s="2">
        <v>0</v>
      </c>
      <c r="H101" s="2">
        <f t="shared" si="18"/>
        <v>0.25</v>
      </c>
      <c r="I101" s="2">
        <f t="shared" si="19"/>
        <v>0.75</v>
      </c>
      <c r="K101" s="76">
        <v>20</v>
      </c>
      <c r="L101" s="76">
        <v>0</v>
      </c>
      <c r="M101" s="76">
        <v>0</v>
      </c>
      <c r="N101" s="76">
        <v>0</v>
      </c>
      <c r="O101" s="76">
        <v>0</v>
      </c>
    </row>
    <row r="102" spans="1:15">
      <c r="E102" s="2">
        <v>21</v>
      </c>
      <c r="F102" s="2">
        <v>0</v>
      </c>
      <c r="G102" s="2">
        <v>0</v>
      </c>
      <c r="H102" s="2">
        <f t="shared" si="18"/>
        <v>0.125</v>
      </c>
      <c r="I102" s="2">
        <f t="shared" si="19"/>
        <v>0.875</v>
      </c>
      <c r="K102" s="76">
        <v>21</v>
      </c>
      <c r="L102" s="76">
        <v>0</v>
      </c>
      <c r="M102" s="76">
        <v>0</v>
      </c>
      <c r="N102" s="76">
        <v>0</v>
      </c>
      <c r="O102" s="76">
        <v>0</v>
      </c>
    </row>
    <row r="103" spans="1:15">
      <c r="E103" s="2">
        <v>22</v>
      </c>
      <c r="F103" s="2">
        <v>0</v>
      </c>
      <c r="G103" s="2">
        <v>0</v>
      </c>
      <c r="H103" s="2">
        <f t="shared" si="18"/>
        <v>0</v>
      </c>
      <c r="I103" s="2">
        <f>(E103-14)/(22-14)</f>
        <v>1</v>
      </c>
      <c r="K103" s="76">
        <v>22</v>
      </c>
      <c r="L103" s="76">
        <v>0</v>
      </c>
      <c r="M103" s="76">
        <v>0</v>
      </c>
      <c r="N103" s="76">
        <v>0</v>
      </c>
      <c r="O103" s="76">
        <v>0</v>
      </c>
    </row>
    <row r="104" spans="1:15">
      <c r="E104" s="2">
        <v>23</v>
      </c>
      <c r="F104" s="2">
        <v>0</v>
      </c>
      <c r="G104" s="2">
        <v>0</v>
      </c>
      <c r="H104" s="2">
        <v>0</v>
      </c>
      <c r="I104" s="2">
        <v>1</v>
      </c>
      <c r="K104" s="76">
        <v>23</v>
      </c>
      <c r="L104" s="76">
        <v>0</v>
      </c>
      <c r="M104" s="76">
        <v>0</v>
      </c>
      <c r="N104" s="76">
        <v>0</v>
      </c>
      <c r="O104" s="76">
        <v>0</v>
      </c>
    </row>
    <row r="105" spans="1:15">
      <c r="E105" s="2">
        <v>24</v>
      </c>
      <c r="F105" s="2">
        <v>0</v>
      </c>
      <c r="G105" s="2">
        <v>0</v>
      </c>
      <c r="H105" s="2">
        <v>0</v>
      </c>
      <c r="I105" s="2">
        <v>1</v>
      </c>
      <c r="K105" s="76">
        <v>24</v>
      </c>
      <c r="L105" s="76">
        <v>0</v>
      </c>
      <c r="M105" s="76">
        <v>0</v>
      </c>
      <c r="N105" s="76">
        <v>0</v>
      </c>
      <c r="O105" s="76">
        <v>0</v>
      </c>
    </row>
    <row r="106" spans="1:15">
      <c r="E106" s="2">
        <v>25</v>
      </c>
      <c r="F106" s="2">
        <v>0</v>
      </c>
      <c r="G106" s="2">
        <v>0</v>
      </c>
      <c r="H106" s="2">
        <v>0</v>
      </c>
      <c r="I106" s="2">
        <v>1</v>
      </c>
      <c r="K106" s="76">
        <v>25</v>
      </c>
      <c r="L106" s="76">
        <v>0</v>
      </c>
      <c r="M106" s="76">
        <v>0</v>
      </c>
      <c r="N106" s="76">
        <v>0</v>
      </c>
      <c r="O106" s="76">
        <v>0</v>
      </c>
    </row>
    <row r="111" spans="1:15" s="9" customFormat="1">
      <c r="A111" s="9" t="s">
        <v>151</v>
      </c>
    </row>
    <row r="113" spans="1:6">
      <c r="A113" s="2" t="s">
        <v>1</v>
      </c>
      <c r="B113" s="2" t="s">
        <v>152</v>
      </c>
      <c r="C113" s="2" t="s">
        <v>32</v>
      </c>
      <c r="D113" s="2" t="s">
        <v>34</v>
      </c>
      <c r="E113" s="2" t="s">
        <v>33</v>
      </c>
      <c r="F113" s="2" t="s">
        <v>6</v>
      </c>
    </row>
    <row r="114" spans="1:6">
      <c r="A114" s="2">
        <v>1</v>
      </c>
      <c r="B114" s="2">
        <v>26.2</v>
      </c>
      <c r="C114" s="2">
        <v>80</v>
      </c>
      <c r="D114" s="2">
        <v>1010.8</v>
      </c>
      <c r="E114" s="2">
        <v>5</v>
      </c>
      <c r="F114" s="2" t="s">
        <v>21</v>
      </c>
    </row>
    <row r="115" spans="1:6">
      <c r="A115" s="2">
        <v>2</v>
      </c>
      <c r="B115" s="2">
        <v>26.7</v>
      </c>
      <c r="C115" s="2">
        <v>82</v>
      </c>
      <c r="D115" s="2">
        <v>1011.2</v>
      </c>
      <c r="E115" s="2">
        <v>5</v>
      </c>
      <c r="F115" s="2" t="s">
        <v>20</v>
      </c>
    </row>
    <row r="116" spans="1:6">
      <c r="A116" s="2">
        <v>3</v>
      </c>
      <c r="B116" s="2">
        <v>26.9</v>
      </c>
      <c r="C116" s="2">
        <v>83</v>
      </c>
      <c r="D116" s="2">
        <v>1010.2</v>
      </c>
      <c r="E116" s="2">
        <v>4</v>
      </c>
      <c r="F116" s="2" t="s">
        <v>20</v>
      </c>
    </row>
    <row r="117" spans="1:6">
      <c r="A117" s="2">
        <v>4</v>
      </c>
      <c r="B117" s="2">
        <v>27.1</v>
      </c>
      <c r="C117" s="2">
        <v>82</v>
      </c>
      <c r="D117" s="2">
        <v>1009.5</v>
      </c>
      <c r="E117" s="2">
        <v>3</v>
      </c>
      <c r="F117" s="2" t="s">
        <v>20</v>
      </c>
    </row>
    <row r="118" spans="1:6">
      <c r="A118" s="2">
        <v>5</v>
      </c>
      <c r="B118" s="2">
        <v>28.6</v>
      </c>
      <c r="C118" s="2">
        <v>74</v>
      </c>
      <c r="D118" s="2">
        <v>1008.9</v>
      </c>
      <c r="E118" s="2">
        <v>3</v>
      </c>
      <c r="F118" s="2" t="s">
        <v>24</v>
      </c>
    </row>
    <row r="119" spans="1:6">
      <c r="A119" s="2">
        <v>6</v>
      </c>
      <c r="B119" s="2">
        <v>28.2</v>
      </c>
      <c r="C119" s="2">
        <v>78</v>
      </c>
      <c r="D119" s="2">
        <v>1008.6</v>
      </c>
      <c r="E119" s="2">
        <v>3</v>
      </c>
      <c r="F119" s="2" t="s">
        <v>20</v>
      </c>
    </row>
    <row r="120" spans="1:6">
      <c r="A120" s="2">
        <v>7</v>
      </c>
      <c r="B120" s="2">
        <v>28.1</v>
      </c>
      <c r="C120" s="2">
        <v>80</v>
      </c>
      <c r="D120" s="2">
        <v>1009.1</v>
      </c>
      <c r="E120" s="2">
        <v>3</v>
      </c>
      <c r="F120" s="2" t="s">
        <v>24</v>
      </c>
    </row>
  </sheetData>
  <mergeCells count="8">
    <mergeCell ref="P4:P5"/>
    <mergeCell ref="A70:A71"/>
    <mergeCell ref="B70:B71"/>
    <mergeCell ref="A4:A5"/>
    <mergeCell ref="B4:B5"/>
    <mergeCell ref="F4:F5"/>
    <mergeCell ref="G4:G5"/>
    <mergeCell ref="K4:K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95"/>
  <sheetViews>
    <sheetView topLeftCell="A48" workbookViewId="0">
      <selection activeCell="A37" sqref="A37"/>
    </sheetView>
  </sheetViews>
  <sheetFormatPr defaultRowHeight="15"/>
  <cols>
    <col min="3" max="3" width="15.140625" customWidth="1"/>
    <col min="4" max="4" width="20.7109375" customWidth="1"/>
    <col min="8" max="8" width="9.85546875" customWidth="1"/>
    <col min="11" max="11" width="17.85546875" customWidth="1"/>
  </cols>
  <sheetData>
    <row r="2" spans="1:15">
      <c r="A2" t="s">
        <v>35</v>
      </c>
    </row>
    <row r="4" spans="1:15">
      <c r="B4" s="84" t="s">
        <v>31</v>
      </c>
      <c r="C4" s="85"/>
      <c r="D4" s="86"/>
      <c r="E4" s="84" t="s">
        <v>32</v>
      </c>
      <c r="F4" s="85"/>
      <c r="G4" s="86"/>
      <c r="H4" s="84" t="s">
        <v>34</v>
      </c>
      <c r="I4" s="85"/>
      <c r="J4" s="86"/>
      <c r="K4" s="84" t="s">
        <v>33</v>
      </c>
      <c r="L4" s="85"/>
      <c r="M4" s="86"/>
    </row>
    <row r="5" spans="1:15">
      <c r="B5" s="2">
        <v>26</v>
      </c>
      <c r="C5" s="2">
        <v>27.5</v>
      </c>
      <c r="D5" s="2">
        <v>29</v>
      </c>
      <c r="E5" s="2">
        <v>63</v>
      </c>
      <c r="F5" s="2">
        <v>75</v>
      </c>
      <c r="G5" s="2">
        <v>85</v>
      </c>
      <c r="H5" s="2">
        <v>1008.5</v>
      </c>
      <c r="I5" s="2">
        <v>1011</v>
      </c>
      <c r="J5" s="2">
        <v>1013</v>
      </c>
      <c r="K5" s="2">
        <v>2</v>
      </c>
      <c r="L5" s="2">
        <v>4</v>
      </c>
      <c r="M5" s="2">
        <v>6.5</v>
      </c>
    </row>
    <row r="6" spans="1:1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5">
      <c r="B7" s="1" t="s">
        <v>43</v>
      </c>
      <c r="C7" s="1">
        <v>24</v>
      </c>
      <c r="D7" s="1"/>
      <c r="E7" s="1" t="s">
        <v>43</v>
      </c>
      <c r="F7" s="1">
        <v>63</v>
      </c>
      <c r="G7" s="1"/>
      <c r="H7" s="1" t="s">
        <v>43</v>
      </c>
      <c r="I7" s="1">
        <v>1007</v>
      </c>
      <c r="J7" s="1"/>
      <c r="K7" s="1" t="s">
        <v>43</v>
      </c>
      <c r="L7" s="1">
        <v>0</v>
      </c>
      <c r="M7" s="1"/>
      <c r="O7" t="s">
        <v>45</v>
      </c>
    </row>
    <row r="8" spans="1:15">
      <c r="B8" s="1" t="s">
        <v>44</v>
      </c>
      <c r="C8" s="1">
        <v>32</v>
      </c>
      <c r="D8" s="1"/>
      <c r="E8" s="1" t="s">
        <v>44</v>
      </c>
      <c r="F8" s="1">
        <v>100</v>
      </c>
      <c r="G8" s="1"/>
      <c r="H8" s="1" t="s">
        <v>44</v>
      </c>
      <c r="I8" s="1">
        <v>1016</v>
      </c>
      <c r="J8" s="1"/>
      <c r="K8" s="1" t="s">
        <v>44</v>
      </c>
      <c r="L8" s="1">
        <v>15</v>
      </c>
      <c r="M8" s="1"/>
      <c r="O8" t="s">
        <v>46</v>
      </c>
    </row>
    <row r="10" spans="1:15">
      <c r="A10" t="s">
        <v>36</v>
      </c>
    </row>
    <row r="11" spans="1:15">
      <c r="B11" s="7" t="s">
        <v>37</v>
      </c>
      <c r="C11" s="1">
        <v>3</v>
      </c>
    </row>
    <row r="12" spans="1:15">
      <c r="B12" s="7" t="s">
        <v>38</v>
      </c>
      <c r="C12" s="1">
        <v>0.7</v>
      </c>
    </row>
    <row r="13" spans="1:15">
      <c r="B13" s="7" t="s">
        <v>39</v>
      </c>
      <c r="C13" s="1">
        <v>0.2</v>
      </c>
    </row>
    <row r="15" spans="1:15" s="8" customFormat="1">
      <c r="A15" s="8" t="s">
        <v>40</v>
      </c>
    </row>
    <row r="16" spans="1:15">
      <c r="B16" s="2">
        <v>0.64</v>
      </c>
      <c r="C16" s="2">
        <v>0.65</v>
      </c>
      <c r="D16" s="2">
        <v>0.7</v>
      </c>
      <c r="E16" s="2">
        <v>0.4</v>
      </c>
      <c r="F16" s="2">
        <v>0.35</v>
      </c>
      <c r="G16" s="2">
        <v>0.2</v>
      </c>
      <c r="H16" s="2">
        <v>0.25</v>
      </c>
      <c r="I16" s="2">
        <v>0.5</v>
      </c>
      <c r="J16" s="2">
        <v>0.52</v>
      </c>
      <c r="K16" s="2">
        <v>0.05</v>
      </c>
      <c r="L16" s="2">
        <v>0.3</v>
      </c>
      <c r="M16" s="2">
        <v>0.4</v>
      </c>
    </row>
    <row r="17" spans="1:13">
      <c r="A17" s="1" t="s">
        <v>54</v>
      </c>
      <c r="B17" s="2">
        <f>B5+($C$8-B5)*B16</f>
        <v>29.84</v>
      </c>
      <c r="C17" s="2">
        <f>C5+($C$8-C5)*C16</f>
        <v>30.425000000000001</v>
      </c>
      <c r="D17" s="2">
        <f>D5+($C$8-D5)*D16</f>
        <v>31.1</v>
      </c>
      <c r="E17" s="2">
        <f>E5+($F$8-E5)*E16</f>
        <v>77.8</v>
      </c>
      <c r="F17" s="2">
        <f>F5+($F$8-F5)*F16</f>
        <v>83.75</v>
      </c>
      <c r="G17" s="2">
        <f>G5+($F$8-G5)*G16</f>
        <v>88</v>
      </c>
      <c r="H17" s="2">
        <f>H5+($I$8-H5)*H16</f>
        <v>1010.375</v>
      </c>
      <c r="I17" s="2">
        <f>I5+($I$8-I5)*I16</f>
        <v>1013.5</v>
      </c>
      <c r="J17" s="2">
        <f>J5+($I$8-J5)*J16</f>
        <v>1014.56</v>
      </c>
      <c r="K17" s="2">
        <f>K5+($L$8-K5)*K16</f>
        <v>2.65</v>
      </c>
      <c r="L17" s="2">
        <f>L5+($L$8-L5)*L16</f>
        <v>7.3</v>
      </c>
      <c r="M17" s="2">
        <f>M5+($L$8-M5)*M16</f>
        <v>9.9</v>
      </c>
    </row>
    <row r="18" spans="1:13">
      <c r="A18" s="1"/>
    </row>
    <row r="19" spans="1:13">
      <c r="A19" s="1"/>
      <c r="B19" s="2">
        <v>0.5</v>
      </c>
      <c r="C19" s="2">
        <v>0.4</v>
      </c>
      <c r="D19" s="2">
        <v>0.35</v>
      </c>
      <c r="E19" s="2">
        <v>0.2</v>
      </c>
      <c r="F19" s="2">
        <v>0.52</v>
      </c>
      <c r="G19" s="2">
        <v>0.55000000000000004</v>
      </c>
      <c r="H19" s="2">
        <v>0.64</v>
      </c>
      <c r="I19" s="2">
        <v>0.3</v>
      </c>
      <c r="J19" s="2">
        <v>0.2</v>
      </c>
      <c r="K19" s="2">
        <v>0.15</v>
      </c>
      <c r="L19" s="2">
        <v>0.1</v>
      </c>
      <c r="M19" s="2">
        <v>0.05</v>
      </c>
    </row>
    <row r="20" spans="1:13">
      <c r="A20" s="1" t="s">
        <v>55</v>
      </c>
      <c r="B20" s="2">
        <f>B5-(B5-$C$7)*B19</f>
        <v>25</v>
      </c>
      <c r="C20" s="2">
        <f>C5-(C5-$C$7)*C19</f>
        <v>26.1</v>
      </c>
      <c r="D20" s="2">
        <f>D5-(D5-$C$7)*D19</f>
        <v>27.25</v>
      </c>
      <c r="E20" s="2">
        <f>E5-(E5-$F$7)*E19</f>
        <v>63</v>
      </c>
      <c r="F20" s="2">
        <f>F5-(F5-$F$7)*F19</f>
        <v>68.760000000000005</v>
      </c>
      <c r="G20" s="2">
        <f>G5-(G5-$F$7)*G19</f>
        <v>72.900000000000006</v>
      </c>
      <c r="H20" s="2">
        <f>H5-(H5-$I$7)*H19</f>
        <v>1007.54</v>
      </c>
      <c r="I20" s="2">
        <f>I5-(I5-$I$7)*I19</f>
        <v>1009.8</v>
      </c>
      <c r="J20" s="2">
        <f>J5-(J5-$I$7)*J19</f>
        <v>1011.8</v>
      </c>
      <c r="K20" s="2">
        <f>K5-(K5-$L$7)*K19</f>
        <v>1.7</v>
      </c>
      <c r="L20" s="2">
        <f>L5-(L5-$L$7)*L19</f>
        <v>3.6</v>
      </c>
      <c r="M20" s="2">
        <f>M5-(M5-$L$7)*M19</f>
        <v>6.1749999999999998</v>
      </c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2">
        <v>0.5</v>
      </c>
      <c r="C22" s="2">
        <v>0.5</v>
      </c>
      <c r="D22" s="2">
        <v>0.52</v>
      </c>
      <c r="E22" s="2">
        <v>0.15</v>
      </c>
      <c r="F22" s="2">
        <v>0.05</v>
      </c>
      <c r="G22" s="2">
        <v>0.7</v>
      </c>
      <c r="H22" s="2">
        <v>0.3</v>
      </c>
      <c r="I22" s="2">
        <v>0.35</v>
      </c>
      <c r="J22" s="2">
        <v>0.25</v>
      </c>
      <c r="K22" s="2">
        <v>0.15</v>
      </c>
      <c r="L22" s="2">
        <v>0.3</v>
      </c>
      <c r="M22" s="2">
        <v>0.2</v>
      </c>
    </row>
    <row r="23" spans="1:13">
      <c r="A23" s="1" t="s">
        <v>56</v>
      </c>
      <c r="B23" s="2">
        <f>B5+($C$8-B5)*B22</f>
        <v>29</v>
      </c>
      <c r="C23" s="2">
        <f>C5+($C$8-C5)*C22</f>
        <v>29.75</v>
      </c>
      <c r="D23" s="2">
        <f>D5+($C$8-D5)*D22</f>
        <v>30.56</v>
      </c>
      <c r="E23" s="2">
        <f>E5+($F$8-E5)*E22</f>
        <v>68.55</v>
      </c>
      <c r="F23" s="2">
        <f>F5+($F$8-F5)*F22</f>
        <v>76.25</v>
      </c>
      <c r="G23" s="2">
        <f>G5+($F$8-G5)*G22</f>
        <v>95.5</v>
      </c>
      <c r="H23" s="2">
        <f>H5+($I$8-H5)*H22</f>
        <v>1010.75</v>
      </c>
      <c r="I23" s="2">
        <f>I5+($I$8-I5)*I22</f>
        <v>1012.75</v>
      </c>
      <c r="J23" s="2">
        <f>J5+($I$8-J5)*J22</f>
        <v>1013.75</v>
      </c>
      <c r="K23" s="2">
        <f>K5+($L$8-K5)*K22</f>
        <v>3.95</v>
      </c>
      <c r="L23" s="2">
        <f>L5+($L$8-L5)*L22</f>
        <v>7.3</v>
      </c>
      <c r="M23" s="2">
        <f>M5+($L$8-M5)*M22</f>
        <v>8.1999999999999993</v>
      </c>
    </row>
    <row r="25" spans="1:13" s="9" customFormat="1">
      <c r="A25" s="9" t="s">
        <v>41</v>
      </c>
    </row>
    <row r="27" spans="1:13">
      <c r="A27" t="s">
        <v>48</v>
      </c>
    </row>
    <row r="28" spans="1:13">
      <c r="A28" s="1" t="s">
        <v>54</v>
      </c>
      <c r="B28" s="1">
        <v>0</v>
      </c>
    </row>
    <row r="29" spans="1:13">
      <c r="A29" s="1" t="s">
        <v>55</v>
      </c>
      <c r="B29" s="1">
        <f>1/3</f>
        <v>0.33333333333333331</v>
      </c>
    </row>
    <row r="30" spans="1:13">
      <c r="A30" s="1" t="s">
        <v>56</v>
      </c>
      <c r="B30" s="1">
        <f>1/3</f>
        <v>0.33333333333333331</v>
      </c>
    </row>
    <row r="31" spans="1:13">
      <c r="A31" s="1"/>
      <c r="B31" s="1"/>
    </row>
    <row r="32" spans="1:13">
      <c r="A32" s="1" t="s">
        <v>364</v>
      </c>
      <c r="B32" s="1"/>
    </row>
    <row r="33" spans="1:11">
      <c r="A33" s="1" t="s">
        <v>54</v>
      </c>
      <c r="B33" s="1">
        <v>0</v>
      </c>
    </row>
    <row r="34" spans="1:11">
      <c r="A34" s="1" t="s">
        <v>55</v>
      </c>
      <c r="B34" s="1">
        <f>1/3</f>
        <v>0.33333333333333331</v>
      </c>
    </row>
    <row r="35" spans="1:11">
      <c r="A35" s="1" t="s">
        <v>56</v>
      </c>
      <c r="B35" s="1">
        <f>1/3</f>
        <v>0.33333333333333331</v>
      </c>
    </row>
    <row r="36" spans="1:11" s="9" customFormat="1">
      <c r="A36" s="9" t="s">
        <v>42</v>
      </c>
    </row>
    <row r="37" spans="1:11" s="15" customFormat="1">
      <c r="A37" s="14" t="s">
        <v>49</v>
      </c>
      <c r="C37" s="16"/>
      <c r="D37" s="17"/>
      <c r="K37" s="15">
        <f>C11*C12</f>
        <v>2.0999999999999996</v>
      </c>
    </row>
    <row r="38" spans="1:11">
      <c r="B38" s="10"/>
    </row>
    <row r="39" spans="1:11">
      <c r="B39" s="18" t="s">
        <v>38</v>
      </c>
      <c r="C39" s="18" t="s">
        <v>50</v>
      </c>
      <c r="D39" s="81" t="s">
        <v>51</v>
      </c>
      <c r="E39" s="82"/>
      <c r="F39" s="83"/>
      <c r="G39" s="44"/>
      <c r="H39" s="43"/>
      <c r="I39" s="43"/>
      <c r="J39" s="43"/>
      <c r="K39" s="43"/>
    </row>
    <row r="40" spans="1:11">
      <c r="B40" s="2">
        <v>0.7</v>
      </c>
      <c r="C40" s="19">
        <v>3</v>
      </c>
      <c r="D40" s="11">
        <f>B40*C40</f>
        <v>2.0999999999999996</v>
      </c>
      <c r="E40" s="12" t="s">
        <v>52</v>
      </c>
      <c r="F40" s="12">
        <v>2</v>
      </c>
      <c r="G40" s="36"/>
      <c r="H40" s="20"/>
      <c r="I40" s="1"/>
      <c r="J40" s="1"/>
      <c r="K40" s="1"/>
    </row>
    <row r="41" spans="1:11">
      <c r="B41" s="1"/>
      <c r="C41" s="20"/>
      <c r="D41" s="1"/>
      <c r="E41" s="1"/>
      <c r="F41" s="1"/>
    </row>
    <row r="42" spans="1:11">
      <c r="B42" s="1"/>
      <c r="C42" s="20"/>
      <c r="D42" s="1"/>
      <c r="E42" s="1"/>
      <c r="F42" s="1"/>
    </row>
    <row r="43" spans="1:11" s="21" customFormat="1">
      <c r="A43" s="21" t="s">
        <v>53</v>
      </c>
      <c r="F43" s="15"/>
      <c r="G43" s="22"/>
      <c r="H43" s="17"/>
      <c r="I43" s="15"/>
      <c r="J43" s="15"/>
    </row>
    <row r="45" spans="1:11">
      <c r="A45" s="1"/>
      <c r="B45" s="1" t="s">
        <v>57</v>
      </c>
      <c r="C45" s="1"/>
      <c r="D45" s="1" t="s">
        <v>38</v>
      </c>
    </row>
    <row r="46" spans="1:11">
      <c r="A46" s="1" t="s">
        <v>54</v>
      </c>
      <c r="B46" s="1">
        <v>0.8</v>
      </c>
      <c r="C46" s="1" t="s">
        <v>59</v>
      </c>
      <c r="D46" s="1">
        <v>0.7</v>
      </c>
    </row>
    <row r="47" spans="1:11">
      <c r="A47" s="1" t="s">
        <v>55</v>
      </c>
      <c r="B47" s="1">
        <v>0.52</v>
      </c>
      <c r="C47" s="1" t="s">
        <v>58</v>
      </c>
      <c r="D47" s="1">
        <v>0.7</v>
      </c>
      <c r="E47" t="s">
        <v>60</v>
      </c>
    </row>
    <row r="48" spans="1:11">
      <c r="A48" s="1" t="s">
        <v>56</v>
      </c>
      <c r="B48" s="1">
        <v>0.3</v>
      </c>
      <c r="C48" s="1" t="s">
        <v>58</v>
      </c>
      <c r="D48" s="1">
        <v>0.7</v>
      </c>
      <c r="E48" t="s">
        <v>61</v>
      </c>
    </row>
    <row r="50" spans="1:14" s="23" customFormat="1">
      <c r="A50" s="23" t="s">
        <v>62</v>
      </c>
    </row>
    <row r="51" spans="1:14" s="25" customFormat="1">
      <c r="B51" s="25" t="s">
        <v>63</v>
      </c>
      <c r="C51" s="25" t="s">
        <v>54</v>
      </c>
    </row>
    <row r="52" spans="1:14" s="25" customFormat="1">
      <c r="B52" s="25" t="s">
        <v>66</v>
      </c>
      <c r="C52" s="25" t="s">
        <v>56</v>
      </c>
    </row>
    <row r="53" spans="1:14">
      <c r="B53" s="25" t="s">
        <v>67</v>
      </c>
      <c r="C53" s="25" t="s">
        <v>55</v>
      </c>
    </row>
    <row r="54" spans="1:14">
      <c r="B54" s="25"/>
      <c r="C54" s="25"/>
    </row>
    <row r="55" spans="1:14" s="27" customFormat="1">
      <c r="A55" s="27" t="s">
        <v>64</v>
      </c>
    </row>
    <row r="56" spans="1:14">
      <c r="A56" s="1" t="s">
        <v>54</v>
      </c>
      <c r="B56" s="2">
        <v>29.84</v>
      </c>
      <c r="C56" s="2">
        <v>30.425000000000001</v>
      </c>
      <c r="D56" s="2">
        <v>31.1</v>
      </c>
      <c r="E56" s="2">
        <v>77.8</v>
      </c>
      <c r="F56" s="2">
        <v>83.75</v>
      </c>
      <c r="G56" s="2">
        <v>88</v>
      </c>
      <c r="H56" s="2">
        <v>1010.375</v>
      </c>
      <c r="I56" s="2">
        <v>1013.5</v>
      </c>
      <c r="J56" s="2">
        <v>1014.56</v>
      </c>
      <c r="K56" s="2">
        <v>2.65</v>
      </c>
      <c r="L56" s="2">
        <v>7.3</v>
      </c>
      <c r="M56" s="2">
        <v>9.9</v>
      </c>
    </row>
    <row r="58" spans="1:14">
      <c r="A58" s="1" t="s">
        <v>55</v>
      </c>
      <c r="B58" s="2">
        <v>25</v>
      </c>
      <c r="C58" s="2">
        <v>26.1</v>
      </c>
      <c r="D58" s="2">
        <v>27.25</v>
      </c>
      <c r="E58" s="2">
        <v>63</v>
      </c>
      <c r="F58" s="2">
        <v>68.760000000000005</v>
      </c>
      <c r="G58" s="2">
        <v>72.900000000000006</v>
      </c>
      <c r="H58" s="2">
        <v>1007.54</v>
      </c>
      <c r="I58" s="2">
        <v>1009.8</v>
      </c>
      <c r="J58" s="2">
        <v>1011.8</v>
      </c>
      <c r="K58" s="2">
        <v>1.7</v>
      </c>
      <c r="L58" s="2">
        <v>3.6</v>
      </c>
      <c r="M58" s="2">
        <v>6.1749999999999998</v>
      </c>
    </row>
    <row r="59" spans="1:14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4">
      <c r="A60" s="1" t="s">
        <v>56</v>
      </c>
      <c r="B60" s="2">
        <v>29</v>
      </c>
      <c r="C60" s="2">
        <v>29.75</v>
      </c>
      <c r="D60" s="2">
        <v>30.56</v>
      </c>
      <c r="E60" s="2">
        <v>68.55</v>
      </c>
      <c r="F60" s="2">
        <v>76.25</v>
      </c>
      <c r="G60" s="2">
        <v>95.5</v>
      </c>
      <c r="H60" s="2">
        <v>1010.75</v>
      </c>
      <c r="I60" s="2">
        <v>1012.75</v>
      </c>
      <c r="J60" s="2">
        <v>1013.75</v>
      </c>
      <c r="K60" s="2">
        <v>3.95</v>
      </c>
      <c r="L60" s="2">
        <v>7.3</v>
      </c>
      <c r="M60" s="2">
        <v>8.1999999999999993</v>
      </c>
    </row>
    <row r="62" spans="1:14" s="26" customFormat="1">
      <c r="A62" s="27" t="s">
        <v>65</v>
      </c>
      <c r="E62" s="28"/>
      <c r="F62" s="28"/>
      <c r="G62" s="28"/>
      <c r="H62" s="28"/>
      <c r="I62" s="28"/>
      <c r="J62" s="28"/>
      <c r="K62" s="28"/>
      <c r="L62" s="28"/>
      <c r="M62" s="28"/>
    </row>
    <row r="63" spans="1:14">
      <c r="A63" s="7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 t="s">
        <v>54</v>
      </c>
      <c r="B64" s="2">
        <v>29.84</v>
      </c>
      <c r="C64" s="2">
        <v>30.425000000000001</v>
      </c>
      <c r="D64" s="2">
        <v>31.1</v>
      </c>
      <c r="E64" s="2">
        <v>77.8</v>
      </c>
      <c r="F64" s="2">
        <v>83.75</v>
      </c>
      <c r="G64" s="2">
        <v>88</v>
      </c>
      <c r="H64" s="2">
        <v>1010.375</v>
      </c>
      <c r="I64" s="2">
        <v>1013.5</v>
      </c>
      <c r="J64" s="2">
        <v>1014.56</v>
      </c>
      <c r="K64" s="2">
        <v>2.65</v>
      </c>
      <c r="L64" s="2">
        <v>7.3</v>
      </c>
      <c r="M64" s="2">
        <v>9.9</v>
      </c>
      <c r="N64" s="1"/>
    </row>
    <row r="65" spans="1:14">
      <c r="A65" s="1" t="s">
        <v>55</v>
      </c>
      <c r="B65" s="2">
        <v>25</v>
      </c>
      <c r="C65" s="2">
        <v>26.1</v>
      </c>
      <c r="D65" s="2">
        <v>27.25</v>
      </c>
      <c r="E65" s="2">
        <v>63</v>
      </c>
      <c r="F65" s="2">
        <v>68.760000000000005</v>
      </c>
      <c r="G65" s="2">
        <v>72.900000000000006</v>
      </c>
      <c r="H65" s="2">
        <v>1010.75</v>
      </c>
      <c r="I65" s="2">
        <v>1012.75</v>
      </c>
      <c r="J65" s="2">
        <v>1013.75</v>
      </c>
      <c r="K65" s="2">
        <v>3.95</v>
      </c>
      <c r="L65" s="2">
        <v>7.3</v>
      </c>
      <c r="M65" s="2">
        <v>8.1999999999999993</v>
      </c>
      <c r="N65" s="1"/>
    </row>
    <row r="66" spans="1:14">
      <c r="A66" s="1" t="s">
        <v>56</v>
      </c>
      <c r="B66" s="2">
        <v>29</v>
      </c>
      <c r="C66" s="2">
        <v>28.4</v>
      </c>
      <c r="D66" s="2">
        <v>30.56</v>
      </c>
      <c r="E66" s="2">
        <v>68.55</v>
      </c>
      <c r="F66" s="2">
        <v>76.25</v>
      </c>
      <c r="G66" s="2">
        <v>95.5</v>
      </c>
      <c r="H66" s="2">
        <v>1007.54</v>
      </c>
      <c r="I66" s="2">
        <v>1009.8</v>
      </c>
      <c r="J66" s="2">
        <v>1011.8</v>
      </c>
      <c r="K66" s="2">
        <v>1.7</v>
      </c>
      <c r="L66" s="2">
        <v>3.6</v>
      </c>
      <c r="M66" s="2">
        <v>6.1749999999999998</v>
      </c>
      <c r="N66" s="1"/>
    </row>
    <row r="68" spans="1:14" s="9" customFormat="1">
      <c r="A68" s="9" t="s">
        <v>47</v>
      </c>
    </row>
    <row r="70" spans="1:14">
      <c r="C70" s="18" t="s">
        <v>213</v>
      </c>
      <c r="D70" s="18" t="s">
        <v>214</v>
      </c>
      <c r="E70" s="18" t="s">
        <v>212</v>
      </c>
      <c r="F70" s="43"/>
      <c r="G70" s="18" t="s">
        <v>39</v>
      </c>
      <c r="H70" s="18" t="s">
        <v>215</v>
      </c>
      <c r="I70" s="81" t="s">
        <v>365</v>
      </c>
      <c r="J70" s="82"/>
      <c r="K70" s="82"/>
    </row>
    <row r="71" spans="1:14" s="24" customFormat="1">
      <c r="A71" s="1"/>
      <c r="B71"/>
      <c r="C71" s="2">
        <v>3</v>
      </c>
      <c r="D71" s="19">
        <v>12</v>
      </c>
      <c r="E71" s="2">
        <f>C71*D71</f>
        <v>36</v>
      </c>
      <c r="F71" s="1"/>
      <c r="G71" s="2">
        <v>0.2</v>
      </c>
      <c r="H71" s="19">
        <v>36</v>
      </c>
      <c r="I71" s="11">
        <f>G71*H71</f>
        <v>7.2</v>
      </c>
      <c r="J71" s="12" t="s">
        <v>52</v>
      </c>
      <c r="K71" s="12">
        <v>7</v>
      </c>
    </row>
    <row r="72" spans="1:14" s="24" customFormat="1">
      <c r="A72" s="1"/>
      <c r="B72"/>
      <c r="C72" s="1"/>
      <c r="D72" s="20"/>
      <c r="E72" s="1"/>
      <c r="F72" s="1"/>
      <c r="G72" s="1"/>
    </row>
    <row r="73" spans="1:14" s="24" customFormat="1" ht="14.25" customHeight="1"/>
    <row r="74" spans="1:14" s="67" customFormat="1">
      <c r="A74" s="68" t="s">
        <v>366</v>
      </c>
      <c r="B74" s="68"/>
      <c r="C74" s="68"/>
      <c r="D74" s="68"/>
      <c r="E74" s="68"/>
    </row>
    <row r="75" spans="1:14" s="67" customFormat="1">
      <c r="A75" s="68" t="s">
        <v>375</v>
      </c>
      <c r="B75" s="68"/>
      <c r="C75" s="68"/>
      <c r="D75" s="68"/>
      <c r="E75" s="68"/>
      <c r="F75" s="69"/>
      <c r="G75" s="69"/>
      <c r="H75" s="69"/>
      <c r="I75" s="69"/>
      <c r="J75" s="69"/>
      <c r="K75" s="69"/>
      <c r="L75" s="69"/>
      <c r="M75" s="69"/>
      <c r="N75" s="69"/>
    </row>
    <row r="77" spans="1:14">
      <c r="B77" s="1" t="s">
        <v>155</v>
      </c>
      <c r="C77" s="1" t="s">
        <v>156</v>
      </c>
      <c r="D77" s="1" t="s">
        <v>157</v>
      </c>
      <c r="E77" s="1" t="s">
        <v>158</v>
      </c>
      <c r="F77" s="1" t="s">
        <v>159</v>
      </c>
      <c r="G77" s="1" t="s">
        <v>160</v>
      </c>
      <c r="H77" s="1" t="s">
        <v>161</v>
      </c>
    </row>
    <row r="78" spans="1:14">
      <c r="B78" s="1">
        <v>2</v>
      </c>
      <c r="C78" s="1">
        <v>6</v>
      </c>
      <c r="D78" s="1">
        <v>12</v>
      </c>
      <c r="E78" s="1">
        <v>15</v>
      </c>
      <c r="F78" s="1">
        <v>19</v>
      </c>
      <c r="G78" s="1">
        <v>22</v>
      </c>
      <c r="H78" s="1">
        <v>28</v>
      </c>
    </row>
    <row r="80" spans="1:14">
      <c r="A80" s="1" t="s">
        <v>54</v>
      </c>
      <c r="B80" s="2">
        <v>29.84</v>
      </c>
      <c r="C80" s="66">
        <v>30.425000000000001</v>
      </c>
      <c r="D80" s="2">
        <v>31.1</v>
      </c>
      <c r="E80" s="2">
        <v>77.8</v>
      </c>
      <c r="F80" s="2">
        <v>83.75</v>
      </c>
      <c r="G80" s="66">
        <v>88</v>
      </c>
      <c r="H80" s="2">
        <v>1010.375</v>
      </c>
      <c r="I80" s="2">
        <v>1013.5</v>
      </c>
      <c r="J80" s="2">
        <v>1014.56</v>
      </c>
      <c r="K80" s="2">
        <v>2.65</v>
      </c>
      <c r="L80" s="2">
        <v>7.3</v>
      </c>
      <c r="M80" s="66">
        <v>9.9</v>
      </c>
    </row>
    <row r="81" spans="1:13">
      <c r="A81" s="1" t="s">
        <v>55</v>
      </c>
      <c r="B81" s="2">
        <v>25</v>
      </c>
      <c r="C81" s="2">
        <v>26.1</v>
      </c>
      <c r="D81" s="66">
        <v>27.25</v>
      </c>
      <c r="E81" s="2">
        <v>63</v>
      </c>
      <c r="F81" s="2">
        <v>68.760000000000005</v>
      </c>
      <c r="G81" s="2">
        <v>72.900000000000006</v>
      </c>
      <c r="H81" s="66">
        <v>1010.75</v>
      </c>
      <c r="I81" s="2">
        <v>1012.75</v>
      </c>
      <c r="J81" s="2">
        <v>1013.75</v>
      </c>
      <c r="K81" s="66">
        <v>3.95</v>
      </c>
      <c r="L81" s="2">
        <v>7.3</v>
      </c>
      <c r="M81" s="2">
        <v>8.1999999999999993</v>
      </c>
    </row>
    <row r="82" spans="1:13">
      <c r="A82" s="1" t="s">
        <v>56</v>
      </c>
      <c r="B82" s="2">
        <v>29</v>
      </c>
      <c r="C82" s="2">
        <v>28.4</v>
      </c>
      <c r="D82" s="2">
        <v>30.56</v>
      </c>
      <c r="E82" s="66">
        <v>68.55</v>
      </c>
      <c r="F82" s="2">
        <v>76.25</v>
      </c>
      <c r="G82" s="2">
        <v>95.5</v>
      </c>
      <c r="H82" s="2">
        <v>1007.54</v>
      </c>
      <c r="I82" s="2">
        <v>1009.8</v>
      </c>
      <c r="J82" s="2">
        <v>1011.8</v>
      </c>
      <c r="K82" s="2">
        <v>1.7</v>
      </c>
      <c r="L82" s="2">
        <v>3.6</v>
      </c>
      <c r="M82" s="2">
        <v>6.1749999999999998</v>
      </c>
    </row>
    <row r="84" spans="1:13" s="67" customFormat="1">
      <c r="A84" s="67" t="s">
        <v>367</v>
      </c>
    </row>
    <row r="86" spans="1:13">
      <c r="B86" s="1" t="s">
        <v>368</v>
      </c>
      <c r="C86" s="1" t="s">
        <v>369</v>
      </c>
      <c r="D86" s="1" t="s">
        <v>370</v>
      </c>
      <c r="E86" s="1" t="s">
        <v>371</v>
      </c>
      <c r="F86" s="1" t="s">
        <v>372</v>
      </c>
      <c r="G86" s="1" t="s">
        <v>373</v>
      </c>
      <c r="H86" s="1" t="s">
        <v>374</v>
      </c>
    </row>
    <row r="87" spans="1:13">
      <c r="B87" s="1">
        <v>0.02</v>
      </c>
      <c r="C87" s="1">
        <v>0.01</v>
      </c>
      <c r="D87" s="1">
        <v>-0.03</v>
      </c>
      <c r="E87" s="1">
        <v>0.15</v>
      </c>
      <c r="F87" s="1">
        <v>0.04</v>
      </c>
      <c r="G87" s="1">
        <v>0.01</v>
      </c>
      <c r="H87" s="1">
        <v>2.5000000000000001E-2</v>
      </c>
    </row>
    <row r="89" spans="1:13" s="67" customFormat="1">
      <c r="A89" s="67" t="s">
        <v>376</v>
      </c>
    </row>
    <row r="90" spans="1:13">
      <c r="A90" s="1" t="s">
        <v>54</v>
      </c>
      <c r="B90" s="2">
        <v>29.84</v>
      </c>
      <c r="C90" s="66">
        <f>30.425+(B87*(C8-C7))</f>
        <v>30.585000000000001</v>
      </c>
      <c r="D90" s="2">
        <v>31.1</v>
      </c>
      <c r="E90" s="2">
        <v>77.8</v>
      </c>
      <c r="F90" s="2">
        <v>83.75</v>
      </c>
      <c r="G90" s="66">
        <f>88+(C87*(F8-F7))</f>
        <v>88.37</v>
      </c>
      <c r="H90" s="2">
        <v>1010.375</v>
      </c>
      <c r="I90" s="2">
        <v>1013.5</v>
      </c>
      <c r="J90" s="2">
        <v>1014.56</v>
      </c>
      <c r="K90" s="2">
        <v>2.65</v>
      </c>
      <c r="L90" s="2">
        <v>7.3</v>
      </c>
      <c r="M90" s="66">
        <f>9.9+(D87*(L8-L7))</f>
        <v>9.4500000000000011</v>
      </c>
    </row>
    <row r="91" spans="1:13">
      <c r="A91" s="1" t="s">
        <v>55</v>
      </c>
      <c r="B91" s="2">
        <v>25</v>
      </c>
      <c r="C91" s="2">
        <v>26.1</v>
      </c>
      <c r="D91" s="66">
        <f>27.25+(E87*(C8-C7))</f>
        <v>28.45</v>
      </c>
      <c r="E91" s="2">
        <v>63</v>
      </c>
      <c r="F91" s="2">
        <v>68.760000000000005</v>
      </c>
      <c r="G91" s="2">
        <v>72.900000000000006</v>
      </c>
      <c r="H91" s="66">
        <f>1010.75+(F87*(I8-I7))</f>
        <v>1011.11</v>
      </c>
      <c r="I91" s="2">
        <v>1012.75</v>
      </c>
      <c r="J91" s="2">
        <v>1013.75</v>
      </c>
      <c r="K91" s="66">
        <f>3.95+(G87*(L8-L7))</f>
        <v>4.1000000000000005</v>
      </c>
      <c r="L91" s="2">
        <v>7.3</v>
      </c>
      <c r="M91" s="2">
        <v>8.1999999999999993</v>
      </c>
    </row>
    <row r="92" spans="1:13">
      <c r="A92" s="1" t="s">
        <v>56</v>
      </c>
      <c r="B92" s="2">
        <v>29</v>
      </c>
      <c r="C92" s="2">
        <v>28.4</v>
      </c>
      <c r="D92" s="2">
        <v>30.56</v>
      </c>
      <c r="E92" s="66">
        <f>68.55+(H87*(F8-F7))</f>
        <v>69.474999999999994</v>
      </c>
      <c r="F92" s="2">
        <v>76.25</v>
      </c>
      <c r="G92" s="2">
        <v>95.5</v>
      </c>
      <c r="H92" s="2">
        <v>1007.54</v>
      </c>
      <c r="I92" s="2">
        <v>1009.8</v>
      </c>
      <c r="J92" s="2">
        <v>1011.8</v>
      </c>
      <c r="K92" s="2">
        <v>1.7</v>
      </c>
      <c r="L92" s="2">
        <v>3.6</v>
      </c>
      <c r="M92" s="2">
        <v>6.1749999999999998</v>
      </c>
    </row>
    <row r="95" spans="1:13" s="67" customFormat="1">
      <c r="A95" s="67" t="s">
        <v>377</v>
      </c>
    </row>
  </sheetData>
  <mergeCells count="6">
    <mergeCell ref="I70:K70"/>
    <mergeCell ref="D39:F39"/>
    <mergeCell ref="B4:D4"/>
    <mergeCell ref="E4:G4"/>
    <mergeCell ref="H4:J4"/>
    <mergeCell ref="K4:M4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4A049-45F4-449B-A7C3-0E3F1F03C5D7}">
  <dimension ref="A9:O303"/>
  <sheetViews>
    <sheetView zoomScale="80" workbookViewId="0">
      <selection activeCell="C42" sqref="C42"/>
    </sheetView>
  </sheetViews>
  <sheetFormatPr defaultRowHeight="15"/>
  <cols>
    <col min="1" max="1" width="15.140625" customWidth="1"/>
    <col min="2" max="2" width="24.140625" customWidth="1"/>
    <col min="3" max="3" width="25.28515625" customWidth="1"/>
    <col min="4" max="4" width="23.42578125" customWidth="1"/>
    <col min="5" max="5" width="14.85546875" customWidth="1"/>
    <col min="6" max="6" width="20.85546875" customWidth="1"/>
    <col min="7" max="7" width="26" customWidth="1"/>
    <col min="8" max="8" width="18.140625" customWidth="1"/>
    <col min="9" max="9" width="28.140625" customWidth="1"/>
    <col min="10" max="10" width="29" customWidth="1"/>
    <col min="11" max="11" width="29.85546875" customWidth="1"/>
    <col min="12" max="12" width="26.140625" customWidth="1"/>
    <col min="13" max="13" width="26.5703125" customWidth="1"/>
    <col min="16" max="16" width="22.140625" customWidth="1"/>
    <col min="17" max="17" width="22" customWidth="1"/>
  </cols>
  <sheetData>
    <row r="9" spans="2:13">
      <c r="J9" t="s">
        <v>380</v>
      </c>
    </row>
    <row r="15" spans="2:13">
      <c r="B15">
        <v>0</v>
      </c>
      <c r="C15">
        <v>1</v>
      </c>
      <c r="D15">
        <v>2</v>
      </c>
      <c r="K15">
        <v>9</v>
      </c>
      <c r="L15">
        <v>10</v>
      </c>
      <c r="M15">
        <v>11</v>
      </c>
    </row>
    <row r="16" spans="2:13">
      <c r="B16" s="87" t="s">
        <v>31</v>
      </c>
      <c r="C16" s="87"/>
      <c r="D16" s="87"/>
      <c r="E16" s="87" t="s">
        <v>32</v>
      </c>
      <c r="F16" s="87"/>
      <c r="G16" s="87"/>
      <c r="H16" s="87" t="s">
        <v>34</v>
      </c>
      <c r="I16" s="87"/>
      <c r="J16" s="87"/>
      <c r="K16" s="87" t="s">
        <v>33</v>
      </c>
      <c r="L16" s="87"/>
      <c r="M16" s="87"/>
    </row>
    <row r="17" spans="1:15">
      <c r="A17" s="1" t="s">
        <v>54</v>
      </c>
      <c r="B17" s="45">
        <v>29.84</v>
      </c>
      <c r="C17" s="45">
        <v>30.425000000000001</v>
      </c>
      <c r="D17" s="45">
        <v>31.1</v>
      </c>
      <c r="E17" s="3">
        <v>77.8</v>
      </c>
      <c r="F17" s="3">
        <v>83.75</v>
      </c>
      <c r="G17" s="3">
        <v>88</v>
      </c>
      <c r="H17" s="46">
        <v>1010.375</v>
      </c>
      <c r="I17" s="46">
        <v>1013.5</v>
      </c>
      <c r="J17" s="46">
        <v>1014.56</v>
      </c>
      <c r="K17" s="47">
        <v>0.89</v>
      </c>
      <c r="L17" s="47">
        <v>1.44</v>
      </c>
      <c r="M17" s="47">
        <v>12.11</v>
      </c>
    </row>
    <row r="19" spans="1:15">
      <c r="B19" t="s">
        <v>380</v>
      </c>
      <c r="C19" s="30">
        <v>1</v>
      </c>
      <c r="D19" s="30" t="s">
        <v>216</v>
      </c>
      <c r="F19" s="30">
        <v>1</v>
      </c>
      <c r="G19" s="30" t="s">
        <v>228</v>
      </c>
      <c r="I19" s="30">
        <v>1</v>
      </c>
      <c r="J19" s="30" t="s">
        <v>240</v>
      </c>
      <c r="L19" s="30">
        <v>1</v>
      </c>
      <c r="M19" s="30" t="s">
        <v>384</v>
      </c>
      <c r="O19">
        <v>0</v>
      </c>
    </row>
    <row r="20" spans="1:15">
      <c r="B20" s="29" t="s">
        <v>72</v>
      </c>
      <c r="C20" s="31" t="s">
        <v>219</v>
      </c>
      <c r="D20" s="30" t="s">
        <v>217</v>
      </c>
      <c r="E20" s="29" t="s">
        <v>89</v>
      </c>
      <c r="F20" s="31" t="s">
        <v>239</v>
      </c>
      <c r="G20" s="30" t="s">
        <v>229</v>
      </c>
      <c r="H20" s="29" t="s">
        <v>110</v>
      </c>
      <c r="I20" s="31" t="s">
        <v>253</v>
      </c>
      <c r="J20" s="30" t="s">
        <v>241</v>
      </c>
      <c r="K20" s="29" t="s">
        <v>134</v>
      </c>
      <c r="L20" s="31" t="s">
        <v>257</v>
      </c>
      <c r="M20" s="30" t="s">
        <v>385</v>
      </c>
    </row>
    <row r="21" spans="1:15">
      <c r="C21" s="30">
        <v>0</v>
      </c>
      <c r="D21" s="30" t="s">
        <v>218</v>
      </c>
      <c r="F21" s="30">
        <v>0</v>
      </c>
      <c r="G21" s="30" t="s">
        <v>230</v>
      </c>
      <c r="I21" s="30">
        <v>0</v>
      </c>
      <c r="J21" s="30" t="s">
        <v>242</v>
      </c>
      <c r="L21" s="30">
        <v>0</v>
      </c>
      <c r="M21" s="30" t="s">
        <v>386</v>
      </c>
    </row>
    <row r="23" spans="1:15">
      <c r="C23" s="30" t="s">
        <v>225</v>
      </c>
      <c r="D23" s="30" t="s">
        <v>221</v>
      </c>
      <c r="F23" s="30" t="s">
        <v>238</v>
      </c>
      <c r="G23" s="30" t="s">
        <v>231</v>
      </c>
      <c r="I23" s="30" t="s">
        <v>254</v>
      </c>
      <c r="J23" s="30" t="s">
        <v>244</v>
      </c>
      <c r="L23" s="30" t="s">
        <v>250</v>
      </c>
      <c r="M23" s="30" t="s">
        <v>385</v>
      </c>
      <c r="O23">
        <f>(12.11-5)/(12.11-1.44)</f>
        <v>0.66635426429240863</v>
      </c>
    </row>
    <row r="24" spans="1:15" ht="20.25" customHeight="1">
      <c r="B24" s="29" t="s">
        <v>77</v>
      </c>
      <c r="C24" s="31" t="s">
        <v>226</v>
      </c>
      <c r="D24" s="30" t="s">
        <v>220</v>
      </c>
      <c r="E24" s="29" t="s">
        <v>90</v>
      </c>
      <c r="F24" s="31" t="s">
        <v>237</v>
      </c>
      <c r="G24" s="30" t="s">
        <v>232</v>
      </c>
      <c r="H24" s="29" t="s">
        <v>111</v>
      </c>
      <c r="I24" s="31" t="s">
        <v>255</v>
      </c>
      <c r="J24" s="30" t="s">
        <v>243</v>
      </c>
      <c r="K24" s="29" t="s">
        <v>135</v>
      </c>
      <c r="L24" s="31" t="s">
        <v>251</v>
      </c>
      <c r="M24" s="30" t="s">
        <v>387</v>
      </c>
    </row>
    <row r="25" spans="1:15">
      <c r="C25" s="30">
        <v>0</v>
      </c>
      <c r="D25" s="30" t="s">
        <v>222</v>
      </c>
      <c r="F25" s="30">
        <v>0</v>
      </c>
      <c r="G25" s="30" t="s">
        <v>233</v>
      </c>
      <c r="I25" s="30">
        <v>0</v>
      </c>
      <c r="J25" s="30" t="s">
        <v>245</v>
      </c>
      <c r="L25" s="30">
        <v>0</v>
      </c>
      <c r="M25" s="30" t="s">
        <v>388</v>
      </c>
    </row>
    <row r="28" spans="1:15">
      <c r="C28" s="30">
        <v>0</v>
      </c>
      <c r="D28" s="30" t="s">
        <v>223</v>
      </c>
      <c r="F28" s="30">
        <v>0</v>
      </c>
      <c r="G28" s="30" t="s">
        <v>234</v>
      </c>
      <c r="I28" s="30">
        <v>0</v>
      </c>
      <c r="J28" s="30" t="s">
        <v>246</v>
      </c>
      <c r="L28" s="30">
        <v>0</v>
      </c>
      <c r="M28" s="30" t="s">
        <v>389</v>
      </c>
      <c r="O28">
        <f>(5-1.44)/(12.11-1.44)</f>
        <v>0.33364573570759137</v>
      </c>
    </row>
    <row r="29" spans="1:15">
      <c r="B29" s="29" t="s">
        <v>83</v>
      </c>
      <c r="C29" s="31" t="s">
        <v>227</v>
      </c>
      <c r="D29" s="30" t="s">
        <v>220</v>
      </c>
      <c r="E29" s="29" t="s">
        <v>91</v>
      </c>
      <c r="F29" s="31" t="s">
        <v>236</v>
      </c>
      <c r="G29" s="30" t="s">
        <v>232</v>
      </c>
      <c r="H29" s="29" t="s">
        <v>112</v>
      </c>
      <c r="I29" s="31" t="s">
        <v>256</v>
      </c>
      <c r="J29" s="30" t="s">
        <v>243</v>
      </c>
      <c r="K29" s="29" t="s">
        <v>136</v>
      </c>
      <c r="L29" s="31" t="s">
        <v>252</v>
      </c>
      <c r="M29" s="30" t="s">
        <v>387</v>
      </c>
      <c r="O29">
        <v>9</v>
      </c>
    </row>
    <row r="30" spans="1:15" ht="18.75" customHeight="1">
      <c r="C30" s="30">
        <v>1</v>
      </c>
      <c r="D30" s="30" t="s">
        <v>224</v>
      </c>
      <c r="F30" s="30">
        <v>1</v>
      </c>
      <c r="G30" s="30" t="s">
        <v>235</v>
      </c>
      <c r="I30" s="30">
        <v>1</v>
      </c>
      <c r="J30" s="30" t="s">
        <v>247</v>
      </c>
      <c r="L30" s="30">
        <v>1</v>
      </c>
      <c r="M30" s="30" t="s">
        <v>390</v>
      </c>
    </row>
    <row r="31" spans="1:15" s="73" customFormat="1" ht="18.75" customHeight="1">
      <c r="C31" s="74"/>
      <c r="D31" s="74"/>
      <c r="F31" s="74"/>
      <c r="G31" s="74"/>
      <c r="I31" s="74"/>
      <c r="J31" s="74"/>
      <c r="L31" s="74"/>
      <c r="M31" s="74"/>
    </row>
    <row r="32" spans="1:15" s="73" customFormat="1" ht="18.75" customHeight="1">
      <c r="C32" s="74"/>
      <c r="D32" s="74"/>
      <c r="F32" s="74"/>
      <c r="G32" s="74"/>
      <c r="I32" s="74"/>
      <c r="J32" s="74"/>
      <c r="L32" s="74"/>
      <c r="M32" s="74"/>
    </row>
    <row r="33" spans="1:13" s="73" customFormat="1" ht="18.75" customHeight="1">
      <c r="C33" s="74"/>
      <c r="D33" s="74"/>
      <c r="F33" s="74"/>
      <c r="G33" s="74"/>
      <c r="I33" s="74"/>
      <c r="J33" s="1">
        <v>26.2</v>
      </c>
      <c r="K33" s="1">
        <v>80</v>
      </c>
      <c r="L33" s="1">
        <v>1010.8</v>
      </c>
      <c r="M33" s="1">
        <v>5</v>
      </c>
    </row>
    <row r="34" spans="1:13" s="73" customFormat="1" ht="18.75" customHeight="1">
      <c r="C34" s="74"/>
      <c r="D34" s="74"/>
      <c r="F34" s="74"/>
      <c r="G34" s="74"/>
      <c r="I34" s="74"/>
      <c r="J34" s="74"/>
      <c r="L34" s="74"/>
      <c r="M34" s="74"/>
    </row>
    <row r="35" spans="1:13" s="73" customFormat="1" ht="18.75" customHeight="1">
      <c r="C35" s="74"/>
      <c r="D35" s="74"/>
      <c r="F35" s="74"/>
      <c r="G35" s="74"/>
      <c r="I35" s="74"/>
      <c r="J35" s="74"/>
      <c r="L35" s="74"/>
      <c r="M35" s="74"/>
    </row>
    <row r="38" spans="1:13" s="38" customFormat="1">
      <c r="A38" s="38" t="s">
        <v>151</v>
      </c>
    </row>
    <row r="40" spans="1:13">
      <c r="A40" s="1" t="s">
        <v>153</v>
      </c>
      <c r="B40" s="1"/>
      <c r="C40" s="2">
        <v>26.2</v>
      </c>
      <c r="D40" s="1"/>
      <c r="E40" s="2">
        <v>80</v>
      </c>
      <c r="F40" s="1"/>
      <c r="G40" s="2">
        <v>1010.8</v>
      </c>
      <c r="H40" s="1"/>
      <c r="I40" s="2">
        <v>5</v>
      </c>
    </row>
    <row r="41" spans="1:13">
      <c r="A41" s="1"/>
      <c r="B41" s="1" t="s">
        <v>72</v>
      </c>
      <c r="C41" s="1">
        <v>1</v>
      </c>
      <c r="D41" s="1" t="s">
        <v>89</v>
      </c>
      <c r="E41" s="1">
        <f>(83.75-80)/(83.75-77.8)</f>
        <v>0.63025210084033578</v>
      </c>
      <c r="F41" s="1" t="s">
        <v>110</v>
      </c>
      <c r="G41" s="1">
        <f>(1013.5-1010.8)/(1013.5-1010.375)</f>
        <v>0.86400000000001453</v>
      </c>
      <c r="H41" s="1" t="s">
        <v>134</v>
      </c>
      <c r="I41" s="1">
        <f>(7.3-5)/(7.3-2.65)</f>
        <v>0.49462365591397844</v>
      </c>
    </row>
    <row r="42" spans="1:13">
      <c r="A42" s="1"/>
      <c r="B42" s="1" t="s">
        <v>77</v>
      </c>
      <c r="C42" s="1">
        <v>0</v>
      </c>
      <c r="D42" s="1" t="s">
        <v>90</v>
      </c>
      <c r="E42" s="1">
        <f>(80-77.8)/(83.75-77.8)</f>
        <v>0.36974789915966416</v>
      </c>
      <c r="F42" s="1" t="s">
        <v>111</v>
      </c>
      <c r="G42" s="1">
        <f>(1010.8-1010.375)/(1013.5-1010.375)</f>
        <v>0.13599999999998544</v>
      </c>
      <c r="H42" s="1" t="s">
        <v>135</v>
      </c>
      <c r="I42" s="1">
        <f>(5-2.65)/(7.3-2.65)</f>
        <v>0.5053763440860215</v>
      </c>
    </row>
    <row r="43" spans="1:13">
      <c r="A43" s="1"/>
      <c r="B43" s="1" t="s">
        <v>83</v>
      </c>
      <c r="C43" s="1">
        <v>0</v>
      </c>
      <c r="D43" s="1" t="s">
        <v>91</v>
      </c>
      <c r="E43" s="1">
        <v>0</v>
      </c>
      <c r="F43" s="1" t="s">
        <v>112</v>
      </c>
      <c r="G43" s="1">
        <v>0</v>
      </c>
      <c r="H43" s="1" t="s">
        <v>136</v>
      </c>
      <c r="I43" s="1">
        <v>0</v>
      </c>
    </row>
    <row r="44" spans="1:13">
      <c r="A44" s="1"/>
      <c r="B44" s="1"/>
      <c r="C44" s="1"/>
      <c r="D44" s="1"/>
      <c r="E44" s="1"/>
      <c r="F44" s="1"/>
      <c r="G44" s="1"/>
      <c r="H44" s="1"/>
      <c r="I44" s="1"/>
    </row>
    <row r="46" spans="1:13" s="38" customFormat="1">
      <c r="A46" s="55" t="s">
        <v>154</v>
      </c>
    </row>
    <row r="47" spans="1:13">
      <c r="B47" s="69" t="s">
        <v>31</v>
      </c>
      <c r="C47" s="69" t="s">
        <v>378</v>
      </c>
      <c r="D47" s="69" t="s">
        <v>34</v>
      </c>
      <c r="E47" s="67" t="s">
        <v>33</v>
      </c>
      <c r="F47" s="69" t="s">
        <v>379</v>
      </c>
    </row>
    <row r="48" spans="1:13">
      <c r="A48" s="1" t="s">
        <v>155</v>
      </c>
      <c r="B48" s="2" t="s">
        <v>7</v>
      </c>
      <c r="C48" s="2" t="s">
        <v>10</v>
      </c>
      <c r="D48" s="2" t="s">
        <v>13</v>
      </c>
      <c r="E48" s="2" t="s">
        <v>16</v>
      </c>
      <c r="F48" s="2" t="s">
        <v>20</v>
      </c>
    </row>
    <row r="49" spans="1:6">
      <c r="B49" s="1">
        <v>1</v>
      </c>
      <c r="C49" s="1">
        <v>0.63025210084033578</v>
      </c>
      <c r="D49" s="1">
        <v>0.86400000000001453</v>
      </c>
      <c r="E49" s="1">
        <v>0.49462365591397844</v>
      </c>
      <c r="F49" s="51">
        <v>0.495</v>
      </c>
    </row>
    <row r="50" spans="1:6">
      <c r="A50" s="1" t="s">
        <v>156</v>
      </c>
      <c r="B50" s="2" t="s">
        <v>7</v>
      </c>
      <c r="C50" s="2" t="s">
        <v>10</v>
      </c>
      <c r="D50" s="2" t="s">
        <v>13</v>
      </c>
      <c r="E50" s="2" t="s">
        <v>17</v>
      </c>
      <c r="F50" s="2" t="s">
        <v>20</v>
      </c>
    </row>
    <row r="51" spans="1:6">
      <c r="A51" s="1"/>
      <c r="B51" s="1">
        <v>1</v>
      </c>
      <c r="C51" s="1">
        <v>0.63025210084033578</v>
      </c>
      <c r="D51" s="1">
        <v>0.86400000000001453</v>
      </c>
      <c r="E51" s="1">
        <v>0.5053763440860215</v>
      </c>
      <c r="F51" s="48">
        <v>0.505</v>
      </c>
    </row>
    <row r="52" spans="1:6">
      <c r="A52" s="1" t="s">
        <v>157</v>
      </c>
      <c r="B52" s="2" t="s">
        <v>7</v>
      </c>
      <c r="C52" s="2" t="s">
        <v>11</v>
      </c>
      <c r="D52" s="2" t="s">
        <v>14</v>
      </c>
      <c r="E52" s="2" t="s">
        <v>16</v>
      </c>
      <c r="F52" s="2" t="s">
        <v>20</v>
      </c>
    </row>
    <row r="53" spans="1:6">
      <c r="B53" s="1">
        <v>1</v>
      </c>
      <c r="C53" s="1">
        <v>0.36974789915966416</v>
      </c>
      <c r="D53" s="1">
        <v>0.13599999999998544</v>
      </c>
      <c r="E53" s="1">
        <v>0.49462365591397844</v>
      </c>
      <c r="F53" s="51">
        <v>0.13600000000000001</v>
      </c>
    </row>
    <row r="54" spans="1:6">
      <c r="A54" s="1" t="s">
        <v>158</v>
      </c>
      <c r="B54" s="2" t="s">
        <v>7</v>
      </c>
      <c r="C54" s="2" t="s">
        <v>11</v>
      </c>
      <c r="D54" s="2" t="s">
        <v>14</v>
      </c>
      <c r="E54" s="2" t="s">
        <v>17</v>
      </c>
      <c r="F54" s="2" t="s">
        <v>21</v>
      </c>
    </row>
    <row r="55" spans="1:6">
      <c r="A55" s="1"/>
      <c r="B55" s="1">
        <v>1</v>
      </c>
      <c r="C55" s="1">
        <v>0.36974789915966416</v>
      </c>
      <c r="D55" s="1">
        <v>0.13599999999998544</v>
      </c>
      <c r="E55" s="1">
        <v>0.5053763440860215</v>
      </c>
      <c r="F55" s="48">
        <v>0.13600000000000001</v>
      </c>
    </row>
    <row r="56" spans="1:6">
      <c r="A56" s="1" t="s">
        <v>159</v>
      </c>
      <c r="B56" s="2" t="s">
        <v>7</v>
      </c>
      <c r="C56" s="2" t="s">
        <v>12</v>
      </c>
      <c r="D56" s="2" t="s">
        <v>14</v>
      </c>
      <c r="E56" s="2" t="s">
        <v>16</v>
      </c>
      <c r="F56" s="2" t="s">
        <v>19</v>
      </c>
    </row>
    <row r="57" spans="1:6">
      <c r="A57" s="1"/>
      <c r="B57" s="1">
        <v>1</v>
      </c>
      <c r="C57" s="1">
        <v>0</v>
      </c>
      <c r="D57" s="1">
        <v>0.13599999999998544</v>
      </c>
      <c r="E57" s="1">
        <v>0.49462365591397844</v>
      </c>
      <c r="F57" s="1">
        <v>0</v>
      </c>
    </row>
    <row r="58" spans="1:6">
      <c r="A58" s="1" t="s">
        <v>160</v>
      </c>
      <c r="B58" s="2" t="s">
        <v>7</v>
      </c>
      <c r="C58" s="2" t="s">
        <v>12</v>
      </c>
      <c r="D58" s="2" t="s">
        <v>15</v>
      </c>
      <c r="E58" s="2" t="s">
        <v>16</v>
      </c>
      <c r="F58" s="2" t="s">
        <v>19</v>
      </c>
    </row>
    <row r="59" spans="1:6">
      <c r="A59" s="1"/>
      <c r="B59" s="1">
        <v>1</v>
      </c>
      <c r="C59" s="1">
        <v>0</v>
      </c>
      <c r="D59" s="1">
        <v>0</v>
      </c>
      <c r="E59" s="1">
        <v>0.49462365591397844</v>
      </c>
      <c r="F59" s="1">
        <v>0</v>
      </c>
    </row>
    <row r="60" spans="1:6">
      <c r="A60" s="1" t="s">
        <v>161</v>
      </c>
      <c r="B60" s="2" t="s">
        <v>8</v>
      </c>
      <c r="C60" s="2" t="s">
        <v>10</v>
      </c>
      <c r="D60" s="2" t="s">
        <v>13</v>
      </c>
      <c r="E60" s="2" t="s">
        <v>16</v>
      </c>
      <c r="F60" s="2" t="s">
        <v>20</v>
      </c>
    </row>
    <row r="61" spans="1:6">
      <c r="A61" s="1"/>
      <c r="B61" s="37">
        <v>0</v>
      </c>
      <c r="C61" s="1">
        <v>0.63025210084033578</v>
      </c>
      <c r="D61" s="1">
        <v>0.86400000000001453</v>
      </c>
      <c r="E61" s="1">
        <v>0.49462365591397844</v>
      </c>
      <c r="F61" s="1">
        <v>0</v>
      </c>
    </row>
    <row r="62" spans="1:6">
      <c r="A62" s="1" t="s">
        <v>162</v>
      </c>
      <c r="B62" s="2" t="s">
        <v>8</v>
      </c>
      <c r="C62" s="2" t="s">
        <v>10</v>
      </c>
      <c r="D62" s="2" t="s">
        <v>14</v>
      </c>
      <c r="E62" s="2" t="s">
        <v>17</v>
      </c>
      <c r="F62" s="2" t="s">
        <v>21</v>
      </c>
    </row>
    <row r="63" spans="1:6">
      <c r="A63" s="1"/>
      <c r="B63" s="37">
        <v>0</v>
      </c>
      <c r="C63" s="1">
        <v>0.63025210084033578</v>
      </c>
      <c r="D63" s="1">
        <v>0.13599999999998544</v>
      </c>
      <c r="E63" s="1">
        <v>0.5053763440860215</v>
      </c>
      <c r="F63" s="1">
        <v>0</v>
      </c>
    </row>
    <row r="64" spans="1:6">
      <c r="A64" s="1" t="s">
        <v>163</v>
      </c>
      <c r="B64" s="2" t="s">
        <v>8</v>
      </c>
      <c r="C64" s="2" t="s">
        <v>11</v>
      </c>
      <c r="D64" s="2" t="s">
        <v>13</v>
      </c>
      <c r="E64" s="2" t="s">
        <v>17</v>
      </c>
      <c r="F64" s="2" t="s">
        <v>19</v>
      </c>
    </row>
    <row r="65" spans="1:6">
      <c r="A65" s="1"/>
      <c r="B65" s="37">
        <v>0</v>
      </c>
      <c r="C65" s="1">
        <v>0.36974789915966416</v>
      </c>
      <c r="D65" s="1">
        <v>0.86400000000001453</v>
      </c>
      <c r="E65" s="1">
        <v>0.5053763440860215</v>
      </c>
      <c r="F65" s="1">
        <v>0</v>
      </c>
    </row>
    <row r="66" spans="1:6">
      <c r="A66" s="1" t="s">
        <v>164</v>
      </c>
      <c r="B66" s="2" t="s">
        <v>8</v>
      </c>
      <c r="C66" s="2" t="s">
        <v>11</v>
      </c>
      <c r="D66" s="2" t="s">
        <v>14</v>
      </c>
      <c r="E66" s="2" t="s">
        <v>18</v>
      </c>
      <c r="F66" s="2" t="s">
        <v>21</v>
      </c>
    </row>
    <row r="67" spans="1:6">
      <c r="A67" s="1"/>
      <c r="B67" s="37">
        <v>0</v>
      </c>
      <c r="C67" s="1">
        <v>0.36974789915966416</v>
      </c>
      <c r="D67" s="1">
        <v>0.13599999999998544</v>
      </c>
      <c r="E67" s="1">
        <v>0</v>
      </c>
      <c r="F67" s="1">
        <v>0</v>
      </c>
    </row>
    <row r="68" spans="1:6">
      <c r="A68" s="1" t="s">
        <v>165</v>
      </c>
      <c r="B68" s="2" t="s">
        <v>8</v>
      </c>
      <c r="C68" s="2" t="s">
        <v>12</v>
      </c>
      <c r="D68" s="2" t="s">
        <v>13</v>
      </c>
      <c r="E68" s="2" t="s">
        <v>17</v>
      </c>
      <c r="F68" s="2" t="s">
        <v>21</v>
      </c>
    </row>
    <row r="69" spans="1:6">
      <c r="A69" s="1"/>
      <c r="B69" s="37">
        <v>0</v>
      </c>
      <c r="C69" s="1">
        <v>0</v>
      </c>
      <c r="D69" s="1">
        <v>0.86400000000001453</v>
      </c>
      <c r="E69" s="1">
        <v>0.5053763440860215</v>
      </c>
      <c r="F69" s="1">
        <v>0</v>
      </c>
    </row>
    <row r="70" spans="1:6">
      <c r="A70" s="1" t="s">
        <v>166</v>
      </c>
      <c r="B70" s="2" t="s">
        <v>8</v>
      </c>
      <c r="C70" s="2" t="s">
        <v>12</v>
      </c>
      <c r="D70" s="2" t="s">
        <v>15</v>
      </c>
      <c r="E70" s="2" t="s">
        <v>16</v>
      </c>
      <c r="F70" s="2" t="s">
        <v>22</v>
      </c>
    </row>
    <row r="71" spans="1:6">
      <c r="A71" s="1"/>
      <c r="B71" s="37">
        <v>0</v>
      </c>
      <c r="C71" s="1">
        <v>0</v>
      </c>
      <c r="D71" s="1">
        <v>0</v>
      </c>
      <c r="E71" s="1">
        <v>0.49462365591397844</v>
      </c>
      <c r="F71" s="1">
        <v>0</v>
      </c>
    </row>
    <row r="72" spans="1:6">
      <c r="A72" s="1" t="s">
        <v>167</v>
      </c>
      <c r="B72" s="2" t="s">
        <v>9</v>
      </c>
      <c r="C72" s="2" t="s">
        <v>10</v>
      </c>
      <c r="D72" s="2" t="s">
        <v>14</v>
      </c>
      <c r="E72" s="2" t="s">
        <v>16</v>
      </c>
      <c r="F72" s="2" t="s">
        <v>19</v>
      </c>
    </row>
    <row r="73" spans="1:6">
      <c r="B73" s="1">
        <v>0</v>
      </c>
      <c r="C73" s="1">
        <v>0.63025210084033578</v>
      </c>
      <c r="D73" s="1">
        <v>0.13599999999998544</v>
      </c>
      <c r="E73" s="1">
        <v>0.49462365591397844</v>
      </c>
      <c r="F73" s="1">
        <v>0</v>
      </c>
    </row>
    <row r="74" spans="1:6">
      <c r="A74" s="1" t="s">
        <v>168</v>
      </c>
      <c r="B74" s="2" t="s">
        <v>9</v>
      </c>
      <c r="C74" s="2" t="s">
        <v>10</v>
      </c>
      <c r="D74" s="2" t="s">
        <v>15</v>
      </c>
      <c r="E74" s="2" t="s">
        <v>18</v>
      </c>
      <c r="F74" s="2" t="s">
        <v>22</v>
      </c>
    </row>
    <row r="75" spans="1:6">
      <c r="A75" s="1"/>
      <c r="B75" s="1">
        <v>0</v>
      </c>
      <c r="C75" s="1">
        <v>0.63025210084033578</v>
      </c>
      <c r="D75" s="1">
        <v>0</v>
      </c>
      <c r="E75" s="1">
        <v>0</v>
      </c>
      <c r="F75" s="1">
        <v>0</v>
      </c>
    </row>
    <row r="76" spans="1:6">
      <c r="A76" s="1" t="s">
        <v>169</v>
      </c>
      <c r="B76" s="2" t="s">
        <v>9</v>
      </c>
      <c r="C76" s="2" t="s">
        <v>11</v>
      </c>
      <c r="D76" s="2" t="s">
        <v>13</v>
      </c>
      <c r="E76" s="2" t="s">
        <v>18</v>
      </c>
      <c r="F76" s="2" t="s">
        <v>22</v>
      </c>
    </row>
    <row r="77" spans="1:6">
      <c r="A77" s="1"/>
      <c r="B77" s="1">
        <v>0</v>
      </c>
      <c r="C77" s="1">
        <v>0.36974789915966416</v>
      </c>
      <c r="D77" s="1">
        <v>0.86400000000001453</v>
      </c>
      <c r="E77" s="1">
        <v>0</v>
      </c>
      <c r="F77" s="1">
        <v>0</v>
      </c>
    </row>
    <row r="78" spans="1:6">
      <c r="A78" s="1" t="s">
        <v>170</v>
      </c>
      <c r="B78" s="2" t="s">
        <v>9</v>
      </c>
      <c r="C78" s="2" t="s">
        <v>11</v>
      </c>
      <c r="D78" s="2" t="s">
        <v>15</v>
      </c>
      <c r="E78" s="2" t="s">
        <v>16</v>
      </c>
      <c r="F78" s="2" t="s">
        <v>22</v>
      </c>
    </row>
    <row r="79" spans="1:6">
      <c r="B79" s="1">
        <v>0</v>
      </c>
      <c r="C79" s="1">
        <v>0.36974789915966416</v>
      </c>
      <c r="D79" s="1">
        <v>0</v>
      </c>
      <c r="E79" s="1">
        <v>0.49462365591397844</v>
      </c>
      <c r="F79" s="1">
        <v>0</v>
      </c>
    </row>
    <row r="80" spans="1:6">
      <c r="A80" s="1" t="s">
        <v>171</v>
      </c>
      <c r="B80" s="2" t="s">
        <v>9</v>
      </c>
      <c r="C80" s="2" t="s">
        <v>12</v>
      </c>
      <c r="D80" s="2" t="s">
        <v>14</v>
      </c>
      <c r="E80" s="2" t="s">
        <v>17</v>
      </c>
      <c r="F80" s="2" t="s">
        <v>22</v>
      </c>
    </row>
    <row r="81" spans="1:11">
      <c r="A81" s="1"/>
      <c r="B81" s="1">
        <v>0</v>
      </c>
      <c r="C81" s="1">
        <v>0</v>
      </c>
      <c r="D81" s="1">
        <v>0.13599999999998544</v>
      </c>
      <c r="E81" s="1">
        <v>0.8</v>
      </c>
      <c r="F81" s="1">
        <v>0</v>
      </c>
    </row>
    <row r="82" spans="1:11">
      <c r="A82" s="1" t="s">
        <v>172</v>
      </c>
      <c r="B82" s="2" t="s">
        <v>9</v>
      </c>
      <c r="C82" s="2" t="s">
        <v>12</v>
      </c>
      <c r="D82" s="2" t="s">
        <v>15</v>
      </c>
      <c r="E82" s="2" t="s">
        <v>18</v>
      </c>
      <c r="F82" s="2" t="s">
        <v>22</v>
      </c>
    </row>
    <row r="83" spans="1:11">
      <c r="B83" s="1">
        <v>0</v>
      </c>
      <c r="C83" s="1">
        <v>0</v>
      </c>
      <c r="D83" s="1">
        <v>0</v>
      </c>
      <c r="E83" s="1">
        <v>0</v>
      </c>
      <c r="F83" s="1">
        <v>0</v>
      </c>
    </row>
    <row r="85" spans="1:11" s="39" customFormat="1">
      <c r="A85" s="55" t="s">
        <v>173</v>
      </c>
    </row>
    <row r="86" spans="1:11" s="1" customFormat="1">
      <c r="A86" s="1" t="s">
        <v>258</v>
      </c>
      <c r="B86" s="1">
        <v>0.505</v>
      </c>
    </row>
    <row r="87" spans="1:11" s="1" customFormat="1">
      <c r="A87" s="1" t="s">
        <v>259</v>
      </c>
      <c r="B87" s="1">
        <v>0.13600000000000001</v>
      </c>
    </row>
    <row r="88" spans="1:11" s="1" customFormat="1">
      <c r="A88" s="1" t="s">
        <v>381</v>
      </c>
      <c r="B88" s="1">
        <v>0</v>
      </c>
      <c r="H88" s="1" t="s">
        <v>383</v>
      </c>
    </row>
    <row r="89" spans="1:11" s="1" customFormat="1">
      <c r="A89" s="1" t="s">
        <v>382</v>
      </c>
      <c r="B89" s="1">
        <v>0</v>
      </c>
    </row>
    <row r="91" spans="1:11">
      <c r="A91" s="2" t="s">
        <v>30</v>
      </c>
      <c r="B91" s="2" t="s">
        <v>175</v>
      </c>
      <c r="C91" s="54" t="s">
        <v>176</v>
      </c>
      <c r="D91" s="2" t="s">
        <v>177</v>
      </c>
      <c r="E91" s="54" t="s">
        <v>178</v>
      </c>
      <c r="F91" s="41" t="s">
        <v>206</v>
      </c>
      <c r="G91" s="41" t="s">
        <v>207</v>
      </c>
      <c r="H91" s="41" t="s">
        <v>208</v>
      </c>
      <c r="I91" s="41" t="s">
        <v>209</v>
      </c>
      <c r="J91" s="42" t="s">
        <v>210</v>
      </c>
    </row>
    <row r="92" spans="1:11">
      <c r="A92" s="2">
        <v>0</v>
      </c>
      <c r="B92" s="2">
        <v>1</v>
      </c>
      <c r="C92" s="54">
        <v>0</v>
      </c>
      <c r="D92" s="2">
        <v>0</v>
      </c>
      <c r="E92" s="54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>
        <f>J92*A92</f>
        <v>0</v>
      </c>
    </row>
    <row r="93" spans="1:11">
      <c r="A93" s="2">
        <v>1</v>
      </c>
      <c r="B93" s="2">
        <v>1</v>
      </c>
      <c r="C93" s="54">
        <v>0</v>
      </c>
      <c r="D93" s="2">
        <v>0</v>
      </c>
      <c r="E93" s="54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>
        <f t="shared" ref="K93:K117" si="0">J93*A93</f>
        <v>0</v>
      </c>
    </row>
    <row r="94" spans="1:11">
      <c r="A94" s="2">
        <v>2</v>
      </c>
      <c r="B94" s="2">
        <v>1</v>
      </c>
      <c r="C94" s="54">
        <v>0</v>
      </c>
      <c r="D94" s="2">
        <v>0</v>
      </c>
      <c r="E94" s="54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>
        <f t="shared" si="0"/>
        <v>0</v>
      </c>
    </row>
    <row r="95" spans="1:11">
      <c r="A95" s="2">
        <v>3</v>
      </c>
      <c r="B95" s="2">
        <v>0.5</v>
      </c>
      <c r="C95" s="54">
        <v>0.16666666666666666</v>
      </c>
      <c r="D95" s="2">
        <v>0</v>
      </c>
      <c r="E95" s="54">
        <v>0</v>
      </c>
      <c r="F95" s="2">
        <v>0</v>
      </c>
      <c r="G95" s="2">
        <v>0.13600000000000001</v>
      </c>
      <c r="H95" s="2">
        <v>0</v>
      </c>
      <c r="I95" s="2">
        <v>0</v>
      </c>
      <c r="J95" s="2">
        <v>0.13600000000000001</v>
      </c>
      <c r="K95">
        <f t="shared" si="0"/>
        <v>0.40800000000000003</v>
      </c>
    </row>
    <row r="96" spans="1:11">
      <c r="A96" s="2">
        <v>4</v>
      </c>
      <c r="B96" s="2">
        <v>0</v>
      </c>
      <c r="C96" s="54">
        <v>0.33333333333333331</v>
      </c>
      <c r="D96" s="2">
        <v>0</v>
      </c>
      <c r="E96" s="54">
        <v>0</v>
      </c>
      <c r="F96" s="2">
        <v>0</v>
      </c>
      <c r="G96" s="2">
        <v>0.13600000000000001</v>
      </c>
      <c r="H96" s="2">
        <v>0</v>
      </c>
      <c r="I96" s="2">
        <v>0</v>
      </c>
      <c r="J96" s="2">
        <v>0.13600000000000001</v>
      </c>
      <c r="K96">
        <f t="shared" si="0"/>
        <v>0.54400000000000004</v>
      </c>
    </row>
    <row r="97" spans="1:11">
      <c r="A97" s="2">
        <v>5</v>
      </c>
      <c r="B97" s="2">
        <v>0</v>
      </c>
      <c r="C97" s="54">
        <v>0.5</v>
      </c>
      <c r="D97" s="2">
        <v>0</v>
      </c>
      <c r="E97" s="54">
        <v>0</v>
      </c>
      <c r="F97" s="2">
        <v>0</v>
      </c>
      <c r="G97" s="2">
        <v>0.13600000000000001</v>
      </c>
      <c r="H97" s="2">
        <v>0</v>
      </c>
      <c r="I97" s="2">
        <v>0</v>
      </c>
      <c r="J97" s="2">
        <v>0.13600000000000001</v>
      </c>
      <c r="K97">
        <f t="shared" si="0"/>
        <v>0.68</v>
      </c>
    </row>
    <row r="98" spans="1:11">
      <c r="A98" s="2">
        <v>6</v>
      </c>
      <c r="B98" s="2">
        <v>0</v>
      </c>
      <c r="C98" s="54">
        <v>0.66666666666666663</v>
      </c>
      <c r="D98" s="2">
        <v>0</v>
      </c>
      <c r="E98" s="54">
        <v>0</v>
      </c>
      <c r="F98" s="2">
        <v>0</v>
      </c>
      <c r="G98" s="2">
        <v>0.13600000000000001</v>
      </c>
      <c r="H98" s="2">
        <v>0</v>
      </c>
      <c r="I98" s="2">
        <v>0</v>
      </c>
      <c r="J98" s="2">
        <v>0.13600000000000001</v>
      </c>
      <c r="K98">
        <f t="shared" si="0"/>
        <v>0.81600000000000006</v>
      </c>
    </row>
    <row r="99" spans="1:11">
      <c r="A99" s="2">
        <v>7</v>
      </c>
      <c r="B99" s="2">
        <v>0</v>
      </c>
      <c r="C99" s="54">
        <v>0.83333333333333337</v>
      </c>
      <c r="D99" s="2">
        <v>0.125</v>
      </c>
      <c r="E99" s="54">
        <v>0</v>
      </c>
      <c r="F99" s="2">
        <v>0</v>
      </c>
      <c r="G99" s="2">
        <v>0.13600000000000001</v>
      </c>
      <c r="H99" s="2">
        <v>0</v>
      </c>
      <c r="I99" s="2">
        <v>0</v>
      </c>
      <c r="J99" s="2">
        <v>0.13600000000000001</v>
      </c>
      <c r="K99">
        <f t="shared" si="0"/>
        <v>0.95200000000000007</v>
      </c>
    </row>
    <row r="100" spans="1:11">
      <c r="A100" s="2">
        <v>8</v>
      </c>
      <c r="B100" s="2">
        <v>0</v>
      </c>
      <c r="C100" s="54">
        <v>1</v>
      </c>
      <c r="D100" s="2">
        <v>0.25</v>
      </c>
      <c r="E100" s="54">
        <v>0</v>
      </c>
      <c r="F100" s="2">
        <v>0</v>
      </c>
      <c r="G100" s="2">
        <v>0.13600000000000001</v>
      </c>
      <c r="H100" s="2">
        <v>0</v>
      </c>
      <c r="I100" s="2">
        <v>0</v>
      </c>
      <c r="J100" s="2">
        <v>0.13600000000000001</v>
      </c>
      <c r="K100">
        <f t="shared" si="0"/>
        <v>1.0880000000000001</v>
      </c>
    </row>
    <row r="101" spans="1:11">
      <c r="A101" s="2">
        <v>9</v>
      </c>
      <c r="B101" s="2">
        <v>0</v>
      </c>
      <c r="C101" s="54">
        <v>0.83333333333333337</v>
      </c>
      <c r="D101" s="2">
        <v>0.375</v>
      </c>
      <c r="E101" s="54">
        <v>0</v>
      </c>
      <c r="F101" s="2">
        <v>0</v>
      </c>
      <c r="G101" s="2">
        <v>0.13600000000000001</v>
      </c>
      <c r="H101" s="2">
        <v>0</v>
      </c>
      <c r="I101" s="2">
        <v>0</v>
      </c>
      <c r="J101" s="2">
        <v>0.13600000000000001</v>
      </c>
      <c r="K101">
        <f t="shared" si="0"/>
        <v>1.2240000000000002</v>
      </c>
    </row>
    <row r="102" spans="1:11">
      <c r="A102" s="2">
        <v>10</v>
      </c>
      <c r="B102" s="2">
        <v>0</v>
      </c>
      <c r="C102" s="54">
        <v>0.66666666666666663</v>
      </c>
      <c r="D102" s="2">
        <v>0.5</v>
      </c>
      <c r="E102" s="54">
        <v>0</v>
      </c>
      <c r="F102" s="2">
        <v>0</v>
      </c>
      <c r="G102" s="2">
        <v>0.13600000000000001</v>
      </c>
      <c r="H102" s="2">
        <v>0</v>
      </c>
      <c r="I102" s="2">
        <v>0</v>
      </c>
      <c r="J102" s="2">
        <v>0.13600000000000001</v>
      </c>
      <c r="K102">
        <f t="shared" si="0"/>
        <v>1.36</v>
      </c>
    </row>
    <row r="103" spans="1:11">
      <c r="A103" s="2">
        <v>11</v>
      </c>
      <c r="B103" s="2">
        <v>0</v>
      </c>
      <c r="C103" s="54">
        <v>0.5</v>
      </c>
      <c r="D103" s="2">
        <v>0.625</v>
      </c>
      <c r="E103" s="54">
        <v>0</v>
      </c>
      <c r="F103" s="2">
        <v>0</v>
      </c>
      <c r="G103" s="2">
        <v>0.13600000000000001</v>
      </c>
      <c r="H103" s="2">
        <v>0</v>
      </c>
      <c r="I103" s="2">
        <v>0</v>
      </c>
      <c r="J103" s="2">
        <v>0.13600000000000001</v>
      </c>
      <c r="K103">
        <f t="shared" si="0"/>
        <v>1.496</v>
      </c>
    </row>
    <row r="104" spans="1:11">
      <c r="A104" s="2">
        <v>12</v>
      </c>
      <c r="B104" s="2">
        <v>0</v>
      </c>
      <c r="C104" s="54">
        <v>0.33333333333333331</v>
      </c>
      <c r="D104" s="2">
        <v>0.75</v>
      </c>
      <c r="E104" s="54">
        <v>0</v>
      </c>
      <c r="F104" s="2">
        <v>0</v>
      </c>
      <c r="G104" s="2">
        <v>0.13600000000000001</v>
      </c>
      <c r="H104" s="2">
        <v>0</v>
      </c>
      <c r="I104" s="2">
        <v>0</v>
      </c>
      <c r="J104" s="2">
        <v>0.13600000000000001</v>
      </c>
      <c r="K104">
        <f t="shared" si="0"/>
        <v>1.6320000000000001</v>
      </c>
    </row>
    <row r="105" spans="1:11">
      <c r="A105" s="2">
        <v>13</v>
      </c>
      <c r="B105" s="2">
        <v>0</v>
      </c>
      <c r="C105" s="54">
        <v>0.16666666666666666</v>
      </c>
      <c r="D105" s="2">
        <v>0.875</v>
      </c>
      <c r="E105" s="54">
        <v>0</v>
      </c>
      <c r="F105" s="2">
        <v>0</v>
      </c>
      <c r="G105" s="2">
        <v>0.13600000000000001</v>
      </c>
      <c r="H105" s="2">
        <v>0</v>
      </c>
      <c r="I105" s="2">
        <v>0</v>
      </c>
      <c r="J105" s="2">
        <v>0.13600000000000001</v>
      </c>
      <c r="K105">
        <f t="shared" si="0"/>
        <v>1.7680000000000002</v>
      </c>
    </row>
    <row r="106" spans="1:11">
      <c r="A106" s="2">
        <v>14</v>
      </c>
      <c r="B106" s="2">
        <v>0</v>
      </c>
      <c r="C106" s="54">
        <v>0</v>
      </c>
      <c r="D106" s="2">
        <v>1</v>
      </c>
      <c r="E106" s="54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>
        <f t="shared" si="0"/>
        <v>0</v>
      </c>
    </row>
    <row r="107" spans="1:11">
      <c r="A107" s="2">
        <v>15</v>
      </c>
      <c r="B107" s="2">
        <v>0</v>
      </c>
      <c r="C107" s="54">
        <v>0</v>
      </c>
      <c r="D107" s="2">
        <v>0.875</v>
      </c>
      <c r="E107" s="54">
        <v>0.125</v>
      </c>
      <c r="F107" s="2">
        <v>0</v>
      </c>
      <c r="G107" s="2">
        <v>0</v>
      </c>
      <c r="H107" s="2">
        <v>0</v>
      </c>
      <c r="I107" s="2">
        <v>0.125</v>
      </c>
      <c r="J107" s="2">
        <v>0.125</v>
      </c>
      <c r="K107">
        <f t="shared" si="0"/>
        <v>1.875</v>
      </c>
    </row>
    <row r="108" spans="1:11">
      <c r="A108" s="2">
        <v>16</v>
      </c>
      <c r="B108" s="2">
        <v>0</v>
      </c>
      <c r="C108" s="54">
        <v>0</v>
      </c>
      <c r="D108" s="2">
        <v>0.75</v>
      </c>
      <c r="E108" s="54">
        <v>0.25</v>
      </c>
      <c r="F108" s="2">
        <v>0</v>
      </c>
      <c r="G108" s="2">
        <v>0</v>
      </c>
      <c r="H108" s="2">
        <v>0</v>
      </c>
      <c r="I108" s="2">
        <v>0.25</v>
      </c>
      <c r="J108" s="2">
        <v>0.25</v>
      </c>
      <c r="K108">
        <f t="shared" si="0"/>
        <v>4</v>
      </c>
    </row>
    <row r="109" spans="1:11">
      <c r="A109" s="2">
        <v>17</v>
      </c>
      <c r="B109" s="2">
        <v>0</v>
      </c>
      <c r="C109" s="54">
        <v>0</v>
      </c>
      <c r="D109" s="2">
        <v>0.625</v>
      </c>
      <c r="E109" s="54">
        <v>0.375</v>
      </c>
      <c r="F109" s="2">
        <v>0</v>
      </c>
      <c r="G109" s="2">
        <v>0</v>
      </c>
      <c r="H109" s="2">
        <v>0</v>
      </c>
      <c r="I109" s="2">
        <v>0.375</v>
      </c>
      <c r="J109" s="2">
        <v>0.375</v>
      </c>
      <c r="K109">
        <f t="shared" si="0"/>
        <v>6.375</v>
      </c>
    </row>
    <row r="110" spans="1:11">
      <c r="A110" s="2">
        <v>18</v>
      </c>
      <c r="B110" s="2">
        <v>0</v>
      </c>
      <c r="C110" s="54">
        <v>0</v>
      </c>
      <c r="D110" s="2">
        <v>0.5</v>
      </c>
      <c r="E110" s="54">
        <v>0.5</v>
      </c>
      <c r="F110" s="2">
        <v>0</v>
      </c>
      <c r="G110" s="2">
        <v>0</v>
      </c>
      <c r="H110" s="2">
        <v>0</v>
      </c>
      <c r="I110" s="2">
        <v>0.5</v>
      </c>
      <c r="J110" s="2">
        <v>0.5</v>
      </c>
      <c r="K110">
        <f t="shared" si="0"/>
        <v>9</v>
      </c>
    </row>
    <row r="111" spans="1:11">
      <c r="A111" s="2">
        <v>19</v>
      </c>
      <c r="B111" s="2">
        <v>0</v>
      </c>
      <c r="C111" s="54">
        <v>0</v>
      </c>
      <c r="D111" s="2">
        <v>0.375</v>
      </c>
      <c r="E111" s="54">
        <v>0.625</v>
      </c>
      <c r="F111" s="2">
        <v>0</v>
      </c>
      <c r="G111" s="2">
        <v>0</v>
      </c>
      <c r="H111" s="2">
        <v>0</v>
      </c>
      <c r="I111" s="2">
        <v>0.505</v>
      </c>
      <c r="J111" s="2">
        <v>0.505</v>
      </c>
      <c r="K111">
        <f t="shared" si="0"/>
        <v>9.5950000000000006</v>
      </c>
    </row>
    <row r="112" spans="1:11">
      <c r="A112" s="2">
        <v>20</v>
      </c>
      <c r="B112" s="2">
        <v>0</v>
      </c>
      <c r="C112" s="54">
        <v>0</v>
      </c>
      <c r="D112" s="2">
        <v>0.25</v>
      </c>
      <c r="E112" s="54">
        <v>0.75</v>
      </c>
      <c r="F112" s="2">
        <v>0</v>
      </c>
      <c r="G112" s="2">
        <v>0</v>
      </c>
      <c r="H112" s="2">
        <v>0</v>
      </c>
      <c r="I112" s="2">
        <v>0.505</v>
      </c>
      <c r="J112" s="2">
        <v>0.505</v>
      </c>
      <c r="K112">
        <f t="shared" si="0"/>
        <v>10.1</v>
      </c>
    </row>
    <row r="113" spans="1:12">
      <c r="A113" s="2">
        <v>21</v>
      </c>
      <c r="B113" s="2">
        <v>0</v>
      </c>
      <c r="C113" s="54">
        <v>0</v>
      </c>
      <c r="D113" s="2">
        <v>0.125</v>
      </c>
      <c r="E113" s="54">
        <v>0.875</v>
      </c>
      <c r="F113" s="2">
        <v>0</v>
      </c>
      <c r="G113" s="2">
        <v>0</v>
      </c>
      <c r="H113" s="2">
        <v>0</v>
      </c>
      <c r="I113" s="2">
        <v>0.505</v>
      </c>
      <c r="J113" s="2">
        <v>0.505</v>
      </c>
      <c r="K113">
        <f t="shared" si="0"/>
        <v>10.605</v>
      </c>
    </row>
    <row r="114" spans="1:12">
      <c r="A114" s="2">
        <v>22</v>
      </c>
      <c r="B114" s="2">
        <v>0</v>
      </c>
      <c r="C114" s="54">
        <v>0</v>
      </c>
      <c r="D114" s="2">
        <v>0</v>
      </c>
      <c r="E114" s="54">
        <v>1</v>
      </c>
      <c r="F114" s="2">
        <v>0</v>
      </c>
      <c r="G114" s="2">
        <v>0</v>
      </c>
      <c r="H114" s="2">
        <v>0</v>
      </c>
      <c r="I114" s="2">
        <v>0.505</v>
      </c>
      <c r="J114" s="2">
        <v>0.505</v>
      </c>
      <c r="K114">
        <f t="shared" si="0"/>
        <v>11.11</v>
      </c>
    </row>
    <row r="115" spans="1:12">
      <c r="A115" s="2">
        <v>23</v>
      </c>
      <c r="B115" s="2">
        <v>0</v>
      </c>
      <c r="C115" s="54">
        <v>0</v>
      </c>
      <c r="D115" s="2">
        <v>0</v>
      </c>
      <c r="E115" s="54">
        <v>1</v>
      </c>
      <c r="F115" s="2">
        <v>0</v>
      </c>
      <c r="G115" s="2">
        <v>0</v>
      </c>
      <c r="H115" s="2">
        <v>0</v>
      </c>
      <c r="I115" s="2">
        <v>0.505</v>
      </c>
      <c r="J115" s="2">
        <v>0.505</v>
      </c>
      <c r="K115">
        <f t="shared" si="0"/>
        <v>11.615</v>
      </c>
    </row>
    <row r="116" spans="1:12">
      <c r="A116" s="2">
        <v>24</v>
      </c>
      <c r="B116" s="2">
        <v>0</v>
      </c>
      <c r="C116" s="54">
        <v>0</v>
      </c>
      <c r="D116" s="2">
        <v>0</v>
      </c>
      <c r="E116" s="54">
        <v>1</v>
      </c>
      <c r="F116" s="2">
        <v>0</v>
      </c>
      <c r="G116" s="2">
        <v>0</v>
      </c>
      <c r="H116" s="2">
        <v>0</v>
      </c>
      <c r="I116" s="2">
        <v>0.505</v>
      </c>
      <c r="J116" s="2">
        <v>0.505</v>
      </c>
      <c r="K116">
        <f t="shared" si="0"/>
        <v>12.120000000000001</v>
      </c>
    </row>
    <row r="117" spans="1:12">
      <c r="A117" s="2">
        <v>25</v>
      </c>
      <c r="B117" s="2">
        <v>0</v>
      </c>
      <c r="C117" s="54">
        <v>0</v>
      </c>
      <c r="D117" s="2">
        <v>0</v>
      </c>
      <c r="E117" s="54">
        <v>1</v>
      </c>
      <c r="F117" s="2">
        <v>0</v>
      </c>
      <c r="G117" s="2">
        <v>0</v>
      </c>
      <c r="H117" s="2">
        <v>0</v>
      </c>
      <c r="I117" s="2">
        <v>0.505</v>
      </c>
      <c r="J117" s="2">
        <v>0.505</v>
      </c>
      <c r="K117">
        <f t="shared" si="0"/>
        <v>12.625</v>
      </c>
    </row>
    <row r="118" spans="1:12">
      <c r="J118" s="2">
        <f>SUM(J92:J117)</f>
        <v>6.2809999999999997</v>
      </c>
      <c r="K118">
        <f>SUM(K92:K117)</f>
        <v>110.988</v>
      </c>
      <c r="L118">
        <f>K118/J118</f>
        <v>17.670434644164942</v>
      </c>
    </row>
    <row r="120" spans="1:12" s="38" customFormat="1">
      <c r="A120" s="38" t="s">
        <v>260</v>
      </c>
    </row>
    <row r="122" spans="1:12">
      <c r="A122" s="1" t="s">
        <v>211</v>
      </c>
      <c r="B122" s="1">
        <f>(((3+4+5+6+7+8+9+10+11+12+13)*0.136)+((19+20+21+22+23+24+25)*0.505)+(16*0.25)+(17*0.375)+(18*0.5)+(15*0.125))/((7*0.505)+(0.125)+(0.375)+(0.5)+(11*0.136)+(0.25))</f>
        <v>17.670434644164938</v>
      </c>
    </row>
    <row r="123" spans="1:12">
      <c r="B123" s="1" t="s">
        <v>177</v>
      </c>
    </row>
    <row r="126" spans="1:12" s="49" customFormat="1">
      <c r="A126" s="49" t="s">
        <v>151</v>
      </c>
    </row>
    <row r="128" spans="1:12">
      <c r="A128" s="1" t="s">
        <v>308</v>
      </c>
      <c r="B128" s="1"/>
      <c r="C128" s="2">
        <v>26.7</v>
      </c>
      <c r="D128" s="1"/>
      <c r="E128" s="2">
        <v>82</v>
      </c>
      <c r="F128" s="1"/>
      <c r="G128" s="2">
        <v>1011.2</v>
      </c>
      <c r="H128" s="1"/>
      <c r="I128" s="2">
        <v>5</v>
      </c>
    </row>
    <row r="129" spans="1:9">
      <c r="B129" s="1" t="s">
        <v>72</v>
      </c>
      <c r="C129" s="1">
        <v>1</v>
      </c>
      <c r="D129" s="1" t="s">
        <v>89</v>
      </c>
      <c r="E129" s="1">
        <f>(83.75-82)/(83.75-77.8)</f>
        <v>0.29411764705882337</v>
      </c>
      <c r="F129" s="1" t="s">
        <v>110</v>
      </c>
      <c r="G129" s="1">
        <f>(1013.5-1011.2)/(1013.5-1010.375)</f>
        <v>0.73599999999998544</v>
      </c>
      <c r="H129" s="1" t="s">
        <v>134</v>
      </c>
      <c r="I129" s="1">
        <v>0.49462365591397844</v>
      </c>
    </row>
    <row r="130" spans="1:9">
      <c r="B130" s="1" t="s">
        <v>77</v>
      </c>
      <c r="C130" s="1">
        <v>0</v>
      </c>
      <c r="D130" s="1" t="s">
        <v>90</v>
      </c>
      <c r="E130" s="1">
        <f>(82-77.8)/(83.75-77.8)</f>
        <v>0.70588235294117663</v>
      </c>
      <c r="F130" s="1" t="s">
        <v>111</v>
      </c>
      <c r="G130" s="1">
        <f>(1011.2-1010.375)/(1013.5-1010.375)</f>
        <v>0.26400000000001456</v>
      </c>
      <c r="H130" s="1" t="s">
        <v>135</v>
      </c>
      <c r="I130" s="1">
        <v>0.5053763440860215</v>
      </c>
    </row>
    <row r="131" spans="1:9">
      <c r="B131" s="1" t="s">
        <v>83</v>
      </c>
      <c r="C131" s="1">
        <v>0</v>
      </c>
      <c r="D131" s="1" t="s">
        <v>91</v>
      </c>
      <c r="E131" s="1">
        <v>0</v>
      </c>
      <c r="F131" s="1" t="s">
        <v>112</v>
      </c>
      <c r="G131" s="1">
        <v>0</v>
      </c>
      <c r="H131" s="1" t="s">
        <v>136</v>
      </c>
      <c r="I131" s="1">
        <v>0</v>
      </c>
    </row>
    <row r="134" spans="1:9" s="49" customFormat="1">
      <c r="A134" s="56" t="s">
        <v>154</v>
      </c>
    </row>
    <row r="135" spans="1:9">
      <c r="B135" s="69" t="s">
        <v>31</v>
      </c>
      <c r="C135" s="69" t="s">
        <v>378</v>
      </c>
      <c r="D135" s="69" t="s">
        <v>34</v>
      </c>
      <c r="E135" s="67" t="s">
        <v>33</v>
      </c>
      <c r="F135" s="69" t="s">
        <v>379</v>
      </c>
    </row>
    <row r="136" spans="1:9">
      <c r="A136" s="1" t="s">
        <v>155</v>
      </c>
      <c r="B136" s="2" t="s">
        <v>7</v>
      </c>
      <c r="C136" s="2" t="s">
        <v>10</v>
      </c>
      <c r="D136" s="2" t="s">
        <v>13</v>
      </c>
      <c r="E136" s="2" t="s">
        <v>16</v>
      </c>
      <c r="F136" s="2" t="s">
        <v>20</v>
      </c>
    </row>
    <row r="137" spans="1:9">
      <c r="B137" s="1">
        <v>1</v>
      </c>
      <c r="C137" s="1">
        <v>0.29411764705882337</v>
      </c>
      <c r="D137" s="1">
        <v>0.73599999999998544</v>
      </c>
      <c r="E137" s="1">
        <v>0.49462365591397844</v>
      </c>
      <c r="F137" s="48">
        <v>0.29411764705882337</v>
      </c>
    </row>
    <row r="138" spans="1:9">
      <c r="A138" s="1" t="s">
        <v>156</v>
      </c>
      <c r="B138" s="2" t="s">
        <v>7</v>
      </c>
      <c r="C138" s="2" t="s">
        <v>10</v>
      </c>
      <c r="D138" s="2" t="s">
        <v>13</v>
      </c>
      <c r="E138" s="2" t="s">
        <v>17</v>
      </c>
      <c r="F138" s="2" t="s">
        <v>20</v>
      </c>
    </row>
    <row r="139" spans="1:9">
      <c r="A139" s="1"/>
      <c r="B139" s="1">
        <v>1</v>
      </c>
      <c r="C139" s="1">
        <v>0.29411764705882337</v>
      </c>
      <c r="D139" s="1">
        <v>0.73599999999998544</v>
      </c>
      <c r="E139" s="1">
        <v>0.5053763440860215</v>
      </c>
      <c r="F139" s="48">
        <v>0.29411764705882337</v>
      </c>
    </row>
    <row r="140" spans="1:9">
      <c r="A140" s="1" t="s">
        <v>157</v>
      </c>
      <c r="B140" s="2" t="s">
        <v>7</v>
      </c>
      <c r="C140" s="2" t="s">
        <v>11</v>
      </c>
      <c r="D140" s="2" t="s">
        <v>14</v>
      </c>
      <c r="E140" s="2" t="s">
        <v>16</v>
      </c>
      <c r="F140" s="2" t="s">
        <v>20</v>
      </c>
    </row>
    <row r="141" spans="1:9">
      <c r="B141" s="1">
        <v>1</v>
      </c>
      <c r="C141" s="1">
        <v>0.70588235294117663</v>
      </c>
      <c r="D141" s="1">
        <v>0.26400000000001456</v>
      </c>
      <c r="E141" s="1">
        <v>0.49462365591397844</v>
      </c>
      <c r="F141" s="48">
        <v>0.26400000000001456</v>
      </c>
    </row>
    <row r="142" spans="1:9">
      <c r="A142" s="1" t="s">
        <v>158</v>
      </c>
      <c r="B142" s="2" t="s">
        <v>7</v>
      </c>
      <c r="C142" s="2" t="s">
        <v>11</v>
      </c>
      <c r="D142" s="2" t="s">
        <v>14</v>
      </c>
      <c r="E142" s="2" t="s">
        <v>17</v>
      </c>
      <c r="F142" s="2" t="s">
        <v>21</v>
      </c>
    </row>
    <row r="143" spans="1:9">
      <c r="A143" s="1"/>
      <c r="B143" s="1">
        <v>1</v>
      </c>
      <c r="C143" s="1">
        <v>0.70588235294117663</v>
      </c>
      <c r="D143" s="1">
        <v>0.26400000000001456</v>
      </c>
      <c r="E143" s="1">
        <v>0.5053763440860215</v>
      </c>
      <c r="F143" s="48">
        <v>0.26400000000001456</v>
      </c>
    </row>
    <row r="144" spans="1:9">
      <c r="A144" s="1" t="s">
        <v>159</v>
      </c>
      <c r="B144" s="2" t="s">
        <v>7</v>
      </c>
      <c r="C144" s="2" t="s">
        <v>12</v>
      </c>
      <c r="D144" s="2" t="s">
        <v>14</v>
      </c>
      <c r="E144" s="2" t="s">
        <v>16</v>
      </c>
      <c r="F144" s="2" t="s">
        <v>19</v>
      </c>
    </row>
    <row r="145" spans="1:6">
      <c r="A145" s="1"/>
      <c r="B145" s="1">
        <v>1</v>
      </c>
      <c r="C145" s="1">
        <v>0</v>
      </c>
      <c r="D145" s="1">
        <v>0.26400000000001456</v>
      </c>
      <c r="E145" s="1">
        <v>0.49462365591397844</v>
      </c>
      <c r="F145" s="1">
        <v>0</v>
      </c>
    </row>
    <row r="146" spans="1:6">
      <c r="A146" s="1" t="s">
        <v>160</v>
      </c>
      <c r="B146" s="2" t="s">
        <v>7</v>
      </c>
      <c r="C146" s="2" t="s">
        <v>12</v>
      </c>
      <c r="D146" s="2" t="s">
        <v>15</v>
      </c>
      <c r="E146" s="2" t="s">
        <v>16</v>
      </c>
      <c r="F146" s="2" t="s">
        <v>19</v>
      </c>
    </row>
    <row r="147" spans="1:6">
      <c r="A147" s="1"/>
      <c r="B147" s="1">
        <v>1</v>
      </c>
      <c r="C147" s="1">
        <v>0</v>
      </c>
      <c r="D147" s="1">
        <v>0</v>
      </c>
      <c r="E147" s="1">
        <v>0.49462365591397844</v>
      </c>
      <c r="F147" s="1">
        <v>0</v>
      </c>
    </row>
    <row r="148" spans="1:6">
      <c r="A148" s="1" t="s">
        <v>161</v>
      </c>
      <c r="B148" s="2" t="s">
        <v>8</v>
      </c>
      <c r="C148" s="2" t="s">
        <v>10</v>
      </c>
      <c r="D148" s="2" t="s">
        <v>13</v>
      </c>
      <c r="E148" s="2" t="s">
        <v>16</v>
      </c>
      <c r="F148" s="2" t="s">
        <v>20</v>
      </c>
    </row>
    <row r="149" spans="1:6">
      <c r="A149" s="1"/>
      <c r="B149" s="37">
        <v>0</v>
      </c>
      <c r="C149" s="1">
        <v>0.29411764705882337</v>
      </c>
      <c r="D149" s="1">
        <v>0.73599999999998544</v>
      </c>
      <c r="E149" s="1">
        <v>0.49462365591397844</v>
      </c>
      <c r="F149" s="1">
        <v>0</v>
      </c>
    </row>
    <row r="150" spans="1:6">
      <c r="A150" s="1" t="s">
        <v>162</v>
      </c>
      <c r="B150" s="2" t="s">
        <v>8</v>
      </c>
      <c r="C150" s="2" t="s">
        <v>10</v>
      </c>
      <c r="D150" s="2" t="s">
        <v>14</v>
      </c>
      <c r="E150" s="2" t="s">
        <v>17</v>
      </c>
      <c r="F150" s="2" t="s">
        <v>21</v>
      </c>
    </row>
    <row r="151" spans="1:6">
      <c r="A151" s="1"/>
      <c r="B151" s="37">
        <v>0</v>
      </c>
      <c r="C151" s="1">
        <v>0.29411764705882337</v>
      </c>
      <c r="D151" s="1">
        <v>0.26400000000001456</v>
      </c>
      <c r="E151" s="1">
        <v>0.5053763440860215</v>
      </c>
      <c r="F151" s="1">
        <v>0</v>
      </c>
    </row>
    <row r="152" spans="1:6">
      <c r="A152" s="1" t="s">
        <v>163</v>
      </c>
      <c r="B152" s="2" t="s">
        <v>8</v>
      </c>
      <c r="C152" s="2" t="s">
        <v>11</v>
      </c>
      <c r="D152" s="2" t="s">
        <v>13</v>
      </c>
      <c r="E152" s="2" t="s">
        <v>17</v>
      </c>
      <c r="F152" s="2" t="s">
        <v>19</v>
      </c>
    </row>
    <row r="153" spans="1:6">
      <c r="A153" s="1"/>
      <c r="B153" s="37">
        <v>0</v>
      </c>
      <c r="C153" s="1">
        <v>0.70588235294117663</v>
      </c>
      <c r="D153" s="1">
        <v>0.73599999999998544</v>
      </c>
      <c r="E153" s="1">
        <v>0.5053763440860215</v>
      </c>
      <c r="F153" s="1">
        <v>0</v>
      </c>
    </row>
    <row r="154" spans="1:6">
      <c r="A154" s="1" t="s">
        <v>164</v>
      </c>
      <c r="B154" s="2" t="s">
        <v>8</v>
      </c>
      <c r="C154" s="2" t="s">
        <v>11</v>
      </c>
      <c r="D154" s="2" t="s">
        <v>14</v>
      </c>
      <c r="E154" s="2" t="s">
        <v>18</v>
      </c>
      <c r="F154" s="2" t="s">
        <v>21</v>
      </c>
    </row>
    <row r="155" spans="1:6">
      <c r="A155" s="1"/>
      <c r="B155" s="37">
        <v>0</v>
      </c>
      <c r="C155" s="1">
        <v>0.70588235294117663</v>
      </c>
      <c r="D155" s="1">
        <v>0.26400000000001456</v>
      </c>
      <c r="E155" s="1">
        <v>0</v>
      </c>
      <c r="F155" s="1">
        <v>0</v>
      </c>
    </row>
    <row r="156" spans="1:6">
      <c r="A156" s="1" t="s">
        <v>165</v>
      </c>
      <c r="B156" s="2" t="s">
        <v>8</v>
      </c>
      <c r="C156" s="2" t="s">
        <v>12</v>
      </c>
      <c r="D156" s="2" t="s">
        <v>13</v>
      </c>
      <c r="E156" s="2" t="s">
        <v>17</v>
      </c>
      <c r="F156" s="2" t="s">
        <v>21</v>
      </c>
    </row>
    <row r="157" spans="1:6">
      <c r="A157" s="1"/>
      <c r="B157" s="37">
        <v>0</v>
      </c>
      <c r="C157" s="1">
        <v>0</v>
      </c>
      <c r="D157" s="1">
        <v>0.73599999999998544</v>
      </c>
      <c r="E157" s="1">
        <v>0.5053763440860215</v>
      </c>
      <c r="F157" s="1">
        <v>0</v>
      </c>
    </row>
    <row r="158" spans="1:6">
      <c r="A158" s="1" t="s">
        <v>166</v>
      </c>
      <c r="B158" s="2" t="s">
        <v>8</v>
      </c>
      <c r="C158" s="2" t="s">
        <v>12</v>
      </c>
      <c r="D158" s="2" t="s">
        <v>15</v>
      </c>
      <c r="E158" s="2" t="s">
        <v>16</v>
      </c>
      <c r="F158" s="2" t="s">
        <v>22</v>
      </c>
    </row>
    <row r="159" spans="1:6">
      <c r="A159" s="1"/>
      <c r="B159" s="37">
        <v>0</v>
      </c>
      <c r="C159" s="1">
        <v>0</v>
      </c>
      <c r="D159" s="1">
        <v>0</v>
      </c>
      <c r="E159" s="1">
        <v>0.49462365591397844</v>
      </c>
      <c r="F159" s="1">
        <v>0</v>
      </c>
    </row>
    <row r="160" spans="1:6">
      <c r="A160" s="1" t="s">
        <v>167</v>
      </c>
      <c r="B160" s="2" t="s">
        <v>9</v>
      </c>
      <c r="C160" s="2" t="s">
        <v>10</v>
      </c>
      <c r="D160" s="2" t="s">
        <v>14</v>
      </c>
      <c r="E160" s="2" t="s">
        <v>16</v>
      </c>
      <c r="F160" s="2" t="s">
        <v>19</v>
      </c>
    </row>
    <row r="161" spans="1:6">
      <c r="B161" s="1">
        <v>0</v>
      </c>
      <c r="C161" s="1">
        <v>0.29411764705882337</v>
      </c>
      <c r="D161" s="1">
        <v>0.26400000000001456</v>
      </c>
      <c r="E161" s="1">
        <v>0.49462365591397844</v>
      </c>
      <c r="F161" s="1">
        <v>0</v>
      </c>
    </row>
    <row r="162" spans="1:6">
      <c r="A162" s="1" t="s">
        <v>168</v>
      </c>
      <c r="B162" s="2" t="s">
        <v>9</v>
      </c>
      <c r="C162" s="2" t="s">
        <v>10</v>
      </c>
      <c r="D162" s="2" t="s">
        <v>15</v>
      </c>
      <c r="E162" s="2" t="s">
        <v>18</v>
      </c>
      <c r="F162" s="2" t="s">
        <v>22</v>
      </c>
    </row>
    <row r="163" spans="1:6">
      <c r="A163" s="1"/>
      <c r="B163" s="1">
        <v>0</v>
      </c>
      <c r="C163" s="1">
        <v>0.29411764705882337</v>
      </c>
      <c r="D163" s="1">
        <v>0</v>
      </c>
      <c r="E163" s="1">
        <v>0</v>
      </c>
      <c r="F163" s="1">
        <v>0</v>
      </c>
    </row>
    <row r="164" spans="1:6">
      <c r="A164" s="1" t="s">
        <v>169</v>
      </c>
      <c r="B164" s="2" t="s">
        <v>9</v>
      </c>
      <c r="C164" s="2" t="s">
        <v>11</v>
      </c>
      <c r="D164" s="2" t="s">
        <v>13</v>
      </c>
      <c r="E164" s="2" t="s">
        <v>18</v>
      </c>
      <c r="F164" s="2" t="s">
        <v>22</v>
      </c>
    </row>
    <row r="165" spans="1:6">
      <c r="A165" s="1"/>
      <c r="B165" s="1">
        <v>0</v>
      </c>
      <c r="C165" s="1">
        <v>0.70588235294117663</v>
      </c>
      <c r="D165" s="1">
        <v>0.86400000000001453</v>
      </c>
      <c r="E165" s="1">
        <v>0</v>
      </c>
      <c r="F165" s="1">
        <v>0</v>
      </c>
    </row>
    <row r="166" spans="1:6">
      <c r="A166" s="1" t="s">
        <v>170</v>
      </c>
      <c r="B166" s="2" t="s">
        <v>9</v>
      </c>
      <c r="C166" s="2" t="s">
        <v>11</v>
      </c>
      <c r="D166" s="2" t="s">
        <v>15</v>
      </c>
      <c r="E166" s="2" t="s">
        <v>16</v>
      </c>
      <c r="F166" s="2" t="s">
        <v>22</v>
      </c>
    </row>
    <row r="167" spans="1:6">
      <c r="B167" s="1">
        <v>0</v>
      </c>
      <c r="C167" s="1">
        <v>0.70588235294117663</v>
      </c>
      <c r="D167" s="1">
        <v>0</v>
      </c>
      <c r="E167" s="1">
        <v>0.49462365591397844</v>
      </c>
      <c r="F167" s="1">
        <v>0</v>
      </c>
    </row>
    <row r="168" spans="1:6">
      <c r="A168" s="1" t="s">
        <v>171</v>
      </c>
      <c r="B168" s="2" t="s">
        <v>9</v>
      </c>
      <c r="C168" s="2" t="s">
        <v>12</v>
      </c>
      <c r="D168" s="2" t="s">
        <v>14</v>
      </c>
      <c r="E168" s="2" t="s">
        <v>17</v>
      </c>
      <c r="F168" s="2" t="s">
        <v>22</v>
      </c>
    </row>
    <row r="169" spans="1:6">
      <c r="A169" s="1"/>
      <c r="B169" s="1">
        <v>0</v>
      </c>
      <c r="C169" s="1">
        <v>0</v>
      </c>
      <c r="D169" s="1">
        <v>0.26400000000001456</v>
      </c>
      <c r="E169" s="1">
        <v>0.8</v>
      </c>
      <c r="F169" s="1">
        <v>0</v>
      </c>
    </row>
    <row r="170" spans="1:6">
      <c r="A170" s="1" t="s">
        <v>172</v>
      </c>
      <c r="B170" s="2" t="s">
        <v>9</v>
      </c>
      <c r="C170" s="2" t="s">
        <v>12</v>
      </c>
      <c r="D170" s="2" t="s">
        <v>15</v>
      </c>
      <c r="E170" s="2" t="s">
        <v>18</v>
      </c>
      <c r="F170" s="2" t="s">
        <v>22</v>
      </c>
    </row>
    <row r="171" spans="1:6">
      <c r="B171" s="1">
        <v>0</v>
      </c>
      <c r="C171" s="1">
        <v>0</v>
      </c>
      <c r="D171" s="1">
        <v>0</v>
      </c>
      <c r="E171" s="1">
        <v>0</v>
      </c>
      <c r="F171" s="1">
        <v>0</v>
      </c>
    </row>
    <row r="174" spans="1:6" s="50" customFormat="1">
      <c r="A174" s="56" t="s">
        <v>173</v>
      </c>
    </row>
    <row r="175" spans="1:6" s="1" customFormat="1"/>
    <row r="176" spans="1:6" s="1" customFormat="1">
      <c r="A176" s="1" t="s">
        <v>258</v>
      </c>
      <c r="B176" s="1">
        <v>0.29399999999999998</v>
      </c>
    </row>
    <row r="177" spans="1:10" s="1" customFormat="1">
      <c r="A177" s="1" t="s">
        <v>259</v>
      </c>
      <c r="B177" s="1">
        <v>0.26400000000000001</v>
      </c>
    </row>
    <row r="178" spans="1:10" s="1" customFormat="1"/>
    <row r="180" spans="1:10">
      <c r="A180" s="2" t="s">
        <v>30</v>
      </c>
      <c r="B180" s="2" t="s">
        <v>175</v>
      </c>
      <c r="C180" s="54" t="s">
        <v>176</v>
      </c>
      <c r="D180" s="2" t="s">
        <v>177</v>
      </c>
      <c r="E180" s="54" t="s">
        <v>178</v>
      </c>
      <c r="F180" s="41" t="s">
        <v>206</v>
      </c>
      <c r="G180" s="41" t="s">
        <v>207</v>
      </c>
      <c r="H180" s="41" t="s">
        <v>208</v>
      </c>
      <c r="I180" s="41" t="s">
        <v>209</v>
      </c>
      <c r="J180" s="42" t="s">
        <v>210</v>
      </c>
    </row>
    <row r="181" spans="1:10">
      <c r="A181" s="2">
        <v>0</v>
      </c>
      <c r="B181" s="2">
        <v>1</v>
      </c>
      <c r="C181" s="54">
        <v>0</v>
      </c>
      <c r="D181" s="2">
        <v>0</v>
      </c>
      <c r="E181" s="54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>
      <c r="A182" s="2">
        <v>1</v>
      </c>
      <c r="B182" s="2">
        <v>1</v>
      </c>
      <c r="C182" s="54">
        <v>0</v>
      </c>
      <c r="D182" s="2">
        <v>0</v>
      </c>
      <c r="E182" s="54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>
      <c r="A183" s="2">
        <v>2</v>
      </c>
      <c r="B183" s="2">
        <v>1</v>
      </c>
      <c r="C183" s="54">
        <v>0</v>
      </c>
      <c r="D183" s="2">
        <v>0</v>
      </c>
      <c r="E183" s="54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>
      <c r="A184" s="2">
        <v>3</v>
      </c>
      <c r="B184" s="2">
        <v>0.5</v>
      </c>
      <c r="C184" s="54">
        <v>0.16666666666666666</v>
      </c>
      <c r="D184" s="2">
        <v>0</v>
      </c>
      <c r="E184" s="54">
        <v>0</v>
      </c>
      <c r="F184" s="2">
        <v>0</v>
      </c>
      <c r="G184" s="2">
        <v>0.16666666666666666</v>
      </c>
      <c r="H184" s="2">
        <v>0</v>
      </c>
      <c r="I184" s="2">
        <v>0</v>
      </c>
      <c r="J184" s="2">
        <v>0.16666666666666666</v>
      </c>
    </row>
    <row r="185" spans="1:10">
      <c r="A185" s="2">
        <v>4</v>
      </c>
      <c r="B185" s="2">
        <v>0</v>
      </c>
      <c r="C185" s="54">
        <v>0.33333333333333331</v>
      </c>
      <c r="D185" s="2">
        <v>0</v>
      </c>
      <c r="E185" s="54">
        <v>0</v>
      </c>
      <c r="F185" s="2">
        <v>0</v>
      </c>
      <c r="G185" s="2">
        <v>0.26400000000000001</v>
      </c>
      <c r="H185" s="2">
        <v>0</v>
      </c>
      <c r="I185" s="2">
        <v>0</v>
      </c>
      <c r="J185" s="2">
        <v>0.26400000000000001</v>
      </c>
    </row>
    <row r="186" spans="1:10">
      <c r="A186" s="2">
        <v>5</v>
      </c>
      <c r="B186" s="2">
        <v>0</v>
      </c>
      <c r="C186" s="54">
        <v>0.5</v>
      </c>
      <c r="D186" s="2">
        <v>0</v>
      </c>
      <c r="E186" s="54">
        <v>0</v>
      </c>
      <c r="F186" s="2">
        <v>0</v>
      </c>
      <c r="G186" s="2">
        <v>0.26400000000000001</v>
      </c>
      <c r="H186" s="2">
        <v>0</v>
      </c>
      <c r="I186" s="2">
        <v>0</v>
      </c>
      <c r="J186" s="2">
        <v>0.26400000000000001</v>
      </c>
    </row>
    <row r="187" spans="1:10">
      <c r="A187" s="2">
        <v>6</v>
      </c>
      <c r="B187" s="2">
        <v>0</v>
      </c>
      <c r="C187" s="54">
        <v>0.66666666666666663</v>
      </c>
      <c r="D187" s="2">
        <v>0</v>
      </c>
      <c r="E187" s="54">
        <v>0</v>
      </c>
      <c r="F187" s="2">
        <v>0</v>
      </c>
      <c r="G187" s="2">
        <v>0.26400000000000001</v>
      </c>
      <c r="H187" s="2">
        <v>0</v>
      </c>
      <c r="I187" s="2">
        <v>0</v>
      </c>
      <c r="J187" s="2">
        <v>0.26400000000000001</v>
      </c>
    </row>
    <row r="188" spans="1:10">
      <c r="A188" s="2">
        <v>7</v>
      </c>
      <c r="B188" s="2">
        <v>0</v>
      </c>
      <c r="C188" s="54">
        <v>0.83333333333333337</v>
      </c>
      <c r="D188" s="2">
        <v>0.125</v>
      </c>
      <c r="E188" s="54">
        <v>0</v>
      </c>
      <c r="F188" s="2">
        <v>0</v>
      </c>
      <c r="G188" s="2">
        <v>0.26400000000000001</v>
      </c>
      <c r="H188" s="2">
        <v>0</v>
      </c>
      <c r="I188" s="2">
        <v>0</v>
      </c>
      <c r="J188" s="2">
        <v>0.26400000000000001</v>
      </c>
    </row>
    <row r="189" spans="1:10">
      <c r="A189" s="2">
        <v>8</v>
      </c>
      <c r="B189" s="2">
        <v>0</v>
      </c>
      <c r="C189" s="54">
        <v>1</v>
      </c>
      <c r="D189" s="2">
        <v>0.25</v>
      </c>
      <c r="E189" s="54">
        <v>0</v>
      </c>
      <c r="F189" s="2">
        <v>0</v>
      </c>
      <c r="G189" s="2">
        <v>0.26400000000000001</v>
      </c>
      <c r="H189" s="2">
        <v>0</v>
      </c>
      <c r="I189" s="2">
        <v>0</v>
      </c>
      <c r="J189" s="2">
        <v>0.26400000000000001</v>
      </c>
    </row>
    <row r="190" spans="1:10">
      <c r="A190" s="2">
        <v>9</v>
      </c>
      <c r="B190" s="2">
        <v>0</v>
      </c>
      <c r="C190" s="54">
        <v>0.83333333333333337</v>
      </c>
      <c r="D190" s="2">
        <v>0.375</v>
      </c>
      <c r="E190" s="54">
        <v>0</v>
      </c>
      <c r="F190" s="2">
        <v>0</v>
      </c>
      <c r="G190" s="2">
        <v>0.26400000000000001</v>
      </c>
      <c r="H190" s="2">
        <v>0</v>
      </c>
      <c r="I190" s="2">
        <v>0</v>
      </c>
      <c r="J190" s="2">
        <v>0.29399999999999998</v>
      </c>
    </row>
    <row r="191" spans="1:10">
      <c r="A191" s="2">
        <v>10</v>
      </c>
      <c r="B191" s="2">
        <v>0</v>
      </c>
      <c r="C191" s="54">
        <v>0.66666666666666663</v>
      </c>
      <c r="D191" s="2">
        <v>0.5</v>
      </c>
      <c r="E191" s="54">
        <v>0</v>
      </c>
      <c r="F191" s="2">
        <v>0</v>
      </c>
      <c r="G191" s="2">
        <v>0.26400000000000001</v>
      </c>
      <c r="H191" s="2">
        <v>0</v>
      </c>
      <c r="I191" s="2">
        <v>0</v>
      </c>
      <c r="J191" s="2">
        <v>0.29399999999999998</v>
      </c>
    </row>
    <row r="192" spans="1:10">
      <c r="A192" s="2">
        <v>11</v>
      </c>
      <c r="B192" s="2">
        <v>0</v>
      </c>
      <c r="C192" s="54">
        <v>0.5</v>
      </c>
      <c r="D192" s="2">
        <v>0.625</v>
      </c>
      <c r="E192" s="54">
        <v>0</v>
      </c>
      <c r="F192" s="2">
        <v>0</v>
      </c>
      <c r="G192" s="2">
        <v>0.26400000000000001</v>
      </c>
      <c r="H192" s="2">
        <v>0</v>
      </c>
      <c r="I192" s="2">
        <v>0</v>
      </c>
      <c r="J192" s="2">
        <v>0.29399999999999998</v>
      </c>
    </row>
    <row r="193" spans="1:10">
      <c r="A193" s="2">
        <v>12</v>
      </c>
      <c r="B193" s="2">
        <v>0</v>
      </c>
      <c r="C193" s="54">
        <v>0.33333333333333331</v>
      </c>
      <c r="D193" s="2">
        <v>0.75</v>
      </c>
      <c r="E193" s="54">
        <v>0</v>
      </c>
      <c r="F193" s="2">
        <v>0</v>
      </c>
      <c r="G193" s="2">
        <v>0.26400000000000001</v>
      </c>
      <c r="H193" s="2">
        <v>0</v>
      </c>
      <c r="I193" s="2">
        <v>0</v>
      </c>
      <c r="J193" s="2">
        <v>0.29399999999999998</v>
      </c>
    </row>
    <row r="194" spans="1:10">
      <c r="A194" s="2">
        <v>13</v>
      </c>
      <c r="B194" s="2">
        <v>0</v>
      </c>
      <c r="C194" s="54">
        <v>0.16666666666666666</v>
      </c>
      <c r="D194" s="2">
        <v>0.875</v>
      </c>
      <c r="E194" s="54">
        <v>0</v>
      </c>
      <c r="F194" s="2">
        <v>0</v>
      </c>
      <c r="G194" s="2">
        <v>0.16666666666666666</v>
      </c>
      <c r="H194" s="2">
        <v>0</v>
      </c>
      <c r="I194" s="2">
        <v>0</v>
      </c>
      <c r="J194" s="2">
        <v>0.29399999999999998</v>
      </c>
    </row>
    <row r="195" spans="1:10">
      <c r="A195" s="2">
        <v>14</v>
      </c>
      <c r="B195" s="2">
        <v>0</v>
      </c>
      <c r="C195" s="54">
        <v>0</v>
      </c>
      <c r="D195" s="2">
        <v>1</v>
      </c>
      <c r="E195" s="54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</row>
    <row r="196" spans="1:10">
      <c r="A196" s="2">
        <v>15</v>
      </c>
      <c r="B196" s="2">
        <v>0</v>
      </c>
      <c r="C196" s="54">
        <v>0</v>
      </c>
      <c r="D196" s="2">
        <v>0.875</v>
      </c>
      <c r="E196" s="54">
        <v>0.125</v>
      </c>
      <c r="F196" s="2">
        <v>0</v>
      </c>
      <c r="G196" s="2">
        <v>0</v>
      </c>
      <c r="H196" s="2">
        <v>0</v>
      </c>
      <c r="I196" s="2">
        <v>0.125</v>
      </c>
      <c r="J196" s="2">
        <v>0.125</v>
      </c>
    </row>
    <row r="197" spans="1:10">
      <c r="A197" s="2">
        <v>16</v>
      </c>
      <c r="B197" s="2">
        <v>0</v>
      </c>
      <c r="C197" s="54">
        <v>0</v>
      </c>
      <c r="D197" s="2">
        <v>0.75</v>
      </c>
      <c r="E197" s="54">
        <v>0.25</v>
      </c>
      <c r="F197" s="2">
        <v>0</v>
      </c>
      <c r="G197" s="2">
        <v>0</v>
      </c>
      <c r="H197" s="2">
        <v>0</v>
      </c>
      <c r="I197" s="2">
        <v>0.25</v>
      </c>
      <c r="J197" s="2">
        <v>0.25</v>
      </c>
    </row>
    <row r="198" spans="1:10">
      <c r="A198" s="2">
        <v>17</v>
      </c>
      <c r="B198" s="2">
        <v>0</v>
      </c>
      <c r="C198" s="54">
        <v>0</v>
      </c>
      <c r="D198" s="2">
        <v>0.625</v>
      </c>
      <c r="E198" s="54">
        <v>0.375</v>
      </c>
      <c r="F198" s="2">
        <v>0</v>
      </c>
      <c r="G198" s="2">
        <v>0</v>
      </c>
      <c r="H198" s="2">
        <v>0</v>
      </c>
      <c r="I198" s="2">
        <v>0.29399999999999998</v>
      </c>
      <c r="J198" s="2">
        <v>0.29399999999999998</v>
      </c>
    </row>
    <row r="199" spans="1:10">
      <c r="A199" s="2">
        <v>18</v>
      </c>
      <c r="B199" s="2">
        <v>0</v>
      </c>
      <c r="C199" s="54">
        <v>0</v>
      </c>
      <c r="D199" s="2">
        <v>0.5</v>
      </c>
      <c r="E199" s="54">
        <v>0.5</v>
      </c>
      <c r="F199" s="2">
        <v>0</v>
      </c>
      <c r="G199" s="2">
        <v>0</v>
      </c>
      <c r="H199" s="2">
        <v>0</v>
      </c>
      <c r="I199" s="2">
        <v>0.29399999999999998</v>
      </c>
      <c r="J199" s="2">
        <v>0.29399999999999998</v>
      </c>
    </row>
    <row r="200" spans="1:10">
      <c r="A200" s="2">
        <v>19</v>
      </c>
      <c r="B200" s="2">
        <v>0</v>
      </c>
      <c r="C200" s="54">
        <v>0</v>
      </c>
      <c r="D200" s="2">
        <v>0.375</v>
      </c>
      <c r="E200" s="54">
        <v>0.625</v>
      </c>
      <c r="F200" s="2">
        <v>0</v>
      </c>
      <c r="G200" s="2">
        <v>0</v>
      </c>
      <c r="H200" s="2">
        <v>0</v>
      </c>
      <c r="I200" s="2">
        <v>0.29399999999999998</v>
      </c>
      <c r="J200" s="2">
        <v>0.29399999999999998</v>
      </c>
    </row>
    <row r="201" spans="1:10">
      <c r="A201" s="2">
        <v>20</v>
      </c>
      <c r="B201" s="2">
        <v>0</v>
      </c>
      <c r="C201" s="54">
        <v>0</v>
      </c>
      <c r="D201" s="2">
        <v>0.25</v>
      </c>
      <c r="E201" s="54">
        <v>0.75</v>
      </c>
      <c r="F201" s="2">
        <v>0</v>
      </c>
      <c r="G201" s="2">
        <v>0</v>
      </c>
      <c r="H201" s="2">
        <v>0</v>
      </c>
      <c r="I201" s="2">
        <v>0.29399999999999998</v>
      </c>
      <c r="J201" s="2">
        <v>0.29399999999999998</v>
      </c>
    </row>
    <row r="202" spans="1:10">
      <c r="A202" s="2">
        <v>21</v>
      </c>
      <c r="B202" s="2">
        <v>0</v>
      </c>
      <c r="C202" s="54">
        <v>0</v>
      </c>
      <c r="D202" s="2">
        <v>0.125</v>
      </c>
      <c r="E202" s="54">
        <v>0.875</v>
      </c>
      <c r="F202" s="2">
        <v>0</v>
      </c>
      <c r="G202" s="2">
        <v>0</v>
      </c>
      <c r="H202" s="2">
        <v>0</v>
      </c>
      <c r="I202" s="2">
        <v>0.29399999999999998</v>
      </c>
      <c r="J202" s="2">
        <v>0.29399999999999998</v>
      </c>
    </row>
    <row r="203" spans="1:10">
      <c r="A203" s="2">
        <v>22</v>
      </c>
      <c r="B203" s="2">
        <v>0</v>
      </c>
      <c r="C203" s="54">
        <v>0</v>
      </c>
      <c r="D203" s="2">
        <v>0</v>
      </c>
      <c r="E203" s="54">
        <v>1</v>
      </c>
      <c r="F203" s="2">
        <v>0</v>
      </c>
      <c r="G203" s="2">
        <v>0</v>
      </c>
      <c r="H203" s="2">
        <v>0</v>
      </c>
      <c r="I203" s="2">
        <v>0.29399999999999998</v>
      </c>
      <c r="J203" s="2">
        <v>0.29399999999999998</v>
      </c>
    </row>
    <row r="204" spans="1:10">
      <c r="A204" s="2">
        <v>23</v>
      </c>
      <c r="B204" s="2">
        <v>0</v>
      </c>
      <c r="C204" s="54">
        <v>0</v>
      </c>
      <c r="D204" s="2">
        <v>0</v>
      </c>
      <c r="E204" s="54">
        <v>1</v>
      </c>
      <c r="F204" s="2">
        <v>0</v>
      </c>
      <c r="G204" s="2">
        <v>0</v>
      </c>
      <c r="H204" s="2">
        <v>0</v>
      </c>
      <c r="I204" s="2">
        <v>0.29399999999999998</v>
      </c>
      <c r="J204" s="2">
        <v>0.29399999999999998</v>
      </c>
    </row>
    <row r="205" spans="1:10">
      <c r="A205" s="2">
        <v>24</v>
      </c>
      <c r="B205" s="2">
        <v>0</v>
      </c>
      <c r="C205" s="54">
        <v>0</v>
      </c>
      <c r="D205" s="2">
        <v>0</v>
      </c>
      <c r="E205" s="54">
        <v>1</v>
      </c>
      <c r="F205" s="2">
        <v>0</v>
      </c>
      <c r="G205" s="2">
        <v>0</v>
      </c>
      <c r="H205" s="2">
        <v>0</v>
      </c>
      <c r="I205" s="2">
        <v>0.29399999999999998</v>
      </c>
      <c r="J205" s="2">
        <v>0.29399999999999998</v>
      </c>
    </row>
    <row r="206" spans="1:10">
      <c r="A206" s="2">
        <v>25</v>
      </c>
      <c r="B206" s="2">
        <v>0</v>
      </c>
      <c r="C206" s="54">
        <v>0</v>
      </c>
      <c r="D206" s="2">
        <v>0</v>
      </c>
      <c r="E206" s="54">
        <v>1</v>
      </c>
      <c r="F206" s="2">
        <v>0</v>
      </c>
      <c r="G206" s="2">
        <v>0</v>
      </c>
      <c r="H206" s="2">
        <v>0</v>
      </c>
      <c r="I206" s="2">
        <v>0.29399999999999998</v>
      </c>
      <c r="J206" s="2">
        <v>0.29399999999999998</v>
      </c>
    </row>
    <row r="209" spans="1:9" s="49" customFormat="1">
      <c r="A209" s="49" t="s">
        <v>201</v>
      </c>
    </row>
    <row r="212" spans="1:9">
      <c r="A212" s="1" t="s">
        <v>309</v>
      </c>
      <c r="B212" s="1">
        <f>(((4+5+6+7+8)*0.264)+((9+10+11+12+13+17+18+19+20+21+22+23+24+25)*0.294)+(3*0.166667)+(16*0.25)+(15*0.125))/((5*0.264)+(14*0.294)+(0.166667)+(0.25)+(0.125))</f>
        <v>14.392069849324157</v>
      </c>
    </row>
    <row r="213" spans="1:9">
      <c r="B213" s="1" t="s">
        <v>177</v>
      </c>
    </row>
    <row r="216" spans="1:9" s="52" customFormat="1">
      <c r="A216" s="52" t="s">
        <v>151</v>
      </c>
    </row>
    <row r="218" spans="1:9">
      <c r="A218" s="1" t="s">
        <v>310</v>
      </c>
      <c r="B218" s="1"/>
      <c r="C218" s="2">
        <v>26.9</v>
      </c>
      <c r="D218" s="1"/>
      <c r="E218" s="2">
        <v>83</v>
      </c>
      <c r="F218" s="1"/>
      <c r="G218" s="2">
        <v>1010.2</v>
      </c>
      <c r="H218" s="1"/>
      <c r="I218" s="2">
        <v>4</v>
      </c>
    </row>
    <row r="219" spans="1:9">
      <c r="B219" s="1" t="s">
        <v>72</v>
      </c>
      <c r="C219" s="1">
        <v>1</v>
      </c>
      <c r="D219" s="1" t="s">
        <v>89</v>
      </c>
      <c r="E219" s="1">
        <f>(83.75-83)/(83.75-77.8)</f>
        <v>0.12605042016806717</v>
      </c>
      <c r="F219" s="1" t="s">
        <v>110</v>
      </c>
      <c r="G219" s="1">
        <v>1</v>
      </c>
      <c r="H219" s="1" t="s">
        <v>134</v>
      </c>
      <c r="I219" s="1">
        <f>(7.3-4)/(7.3-2.65)</f>
        <v>0.70967741935483863</v>
      </c>
    </row>
    <row r="220" spans="1:9">
      <c r="B220" s="1" t="s">
        <v>77</v>
      </c>
      <c r="C220" s="1">
        <v>0</v>
      </c>
      <c r="D220" s="1" t="s">
        <v>90</v>
      </c>
      <c r="E220" s="1">
        <f>(83-77.8)/(83.75-77.8)</f>
        <v>0.87394957983193289</v>
      </c>
      <c r="F220" s="1" t="s">
        <v>111</v>
      </c>
      <c r="G220" s="1">
        <v>0</v>
      </c>
      <c r="H220" s="1" t="s">
        <v>135</v>
      </c>
      <c r="I220" s="1">
        <f>(4-2.65)/(7.3-2.65)</f>
        <v>0.29032258064516131</v>
      </c>
    </row>
    <row r="221" spans="1:9">
      <c r="B221" s="1" t="s">
        <v>83</v>
      </c>
      <c r="C221" s="1">
        <v>0</v>
      </c>
      <c r="D221" s="1" t="s">
        <v>91</v>
      </c>
      <c r="E221" s="1">
        <v>0</v>
      </c>
      <c r="F221" s="1" t="s">
        <v>112</v>
      </c>
      <c r="G221" s="1">
        <v>0</v>
      </c>
      <c r="H221" s="1" t="s">
        <v>136</v>
      </c>
      <c r="I221" s="1">
        <v>0</v>
      </c>
    </row>
    <row r="224" spans="1:9" s="52" customFormat="1">
      <c r="A224" s="57" t="s">
        <v>154</v>
      </c>
    </row>
    <row r="226" spans="1:6">
      <c r="A226" s="1" t="s">
        <v>155</v>
      </c>
      <c r="B226" s="2" t="s">
        <v>7</v>
      </c>
      <c r="C226" s="2" t="s">
        <v>10</v>
      </c>
      <c r="D226" s="2" t="s">
        <v>13</v>
      </c>
      <c r="E226" s="2" t="s">
        <v>16</v>
      </c>
      <c r="F226" s="2" t="s">
        <v>20</v>
      </c>
    </row>
    <row r="227" spans="1:6">
      <c r="B227" s="1">
        <v>1</v>
      </c>
      <c r="C227" s="1">
        <f>(83.75-83)/(83.75-77.8)</f>
        <v>0.12605042016806717</v>
      </c>
      <c r="D227" s="1">
        <v>1</v>
      </c>
      <c r="E227" s="1">
        <v>0.70967741935483863</v>
      </c>
      <c r="F227" s="48">
        <f>(83.75-83)/(83.75-77.8)</f>
        <v>0.12605042016806717</v>
      </c>
    </row>
    <row r="228" spans="1:6">
      <c r="A228" s="1" t="s">
        <v>156</v>
      </c>
      <c r="B228" s="2" t="s">
        <v>7</v>
      </c>
      <c r="C228" s="2" t="s">
        <v>10</v>
      </c>
      <c r="D228" s="2" t="s">
        <v>13</v>
      </c>
      <c r="E228" s="2" t="s">
        <v>17</v>
      </c>
      <c r="F228" s="2" t="s">
        <v>20</v>
      </c>
    </row>
    <row r="229" spans="1:6">
      <c r="A229" s="1"/>
      <c r="B229" s="1">
        <v>1</v>
      </c>
      <c r="C229" s="1">
        <f>(83.75-83)/(83.75-77.8)</f>
        <v>0.12605042016806717</v>
      </c>
      <c r="D229" s="1">
        <v>1</v>
      </c>
      <c r="E229" s="1">
        <v>0.29032258064516131</v>
      </c>
      <c r="F229" s="48">
        <f>(83.75-83)/(83.75-77.8)</f>
        <v>0.12605042016806717</v>
      </c>
    </row>
    <row r="230" spans="1:6">
      <c r="A230" s="1" t="s">
        <v>157</v>
      </c>
      <c r="B230" s="2" t="s">
        <v>7</v>
      </c>
      <c r="C230" s="2" t="s">
        <v>11</v>
      </c>
      <c r="D230" s="2" t="s">
        <v>14</v>
      </c>
      <c r="E230" s="2" t="s">
        <v>16</v>
      </c>
      <c r="F230" s="2" t="s">
        <v>20</v>
      </c>
    </row>
    <row r="231" spans="1:6">
      <c r="B231" s="1">
        <v>1</v>
      </c>
      <c r="C231" s="1">
        <f>(83-77.8)/(83.75-77.8)</f>
        <v>0.87394957983193289</v>
      </c>
      <c r="D231" s="1">
        <v>0</v>
      </c>
      <c r="E231" s="1">
        <v>0.70967741935483863</v>
      </c>
      <c r="F231" s="1">
        <v>0</v>
      </c>
    </row>
    <row r="232" spans="1:6">
      <c r="A232" s="1" t="s">
        <v>158</v>
      </c>
      <c r="B232" s="2" t="s">
        <v>7</v>
      </c>
      <c r="C232" s="2" t="s">
        <v>11</v>
      </c>
      <c r="D232" s="2" t="s">
        <v>14</v>
      </c>
      <c r="E232" s="2" t="s">
        <v>17</v>
      </c>
      <c r="F232" s="2" t="s">
        <v>21</v>
      </c>
    </row>
    <row r="233" spans="1:6">
      <c r="A233" s="1"/>
      <c r="B233" s="1">
        <v>1</v>
      </c>
      <c r="C233" s="1">
        <f>(83-77.8)/(83.75-77.8)</f>
        <v>0.87394957983193289</v>
      </c>
      <c r="D233" s="1">
        <v>0</v>
      </c>
      <c r="E233" s="1">
        <v>0.29032258064516131</v>
      </c>
      <c r="F233" s="1">
        <v>0</v>
      </c>
    </row>
    <row r="234" spans="1:6">
      <c r="A234" s="1" t="s">
        <v>159</v>
      </c>
      <c r="B234" s="2" t="s">
        <v>7</v>
      </c>
      <c r="C234" s="2" t="s">
        <v>12</v>
      </c>
      <c r="D234" s="2" t="s">
        <v>14</v>
      </c>
      <c r="E234" s="2" t="s">
        <v>16</v>
      </c>
      <c r="F234" s="2" t="s">
        <v>19</v>
      </c>
    </row>
    <row r="235" spans="1:6">
      <c r="A235" s="1"/>
      <c r="B235" s="1">
        <v>1</v>
      </c>
      <c r="C235" s="1">
        <v>0</v>
      </c>
      <c r="D235" s="1">
        <v>0</v>
      </c>
      <c r="E235" s="1">
        <v>0.70967741935483863</v>
      </c>
      <c r="F235" s="1">
        <v>0</v>
      </c>
    </row>
    <row r="236" spans="1:6">
      <c r="A236" s="1" t="s">
        <v>160</v>
      </c>
      <c r="B236" s="2" t="s">
        <v>7</v>
      </c>
      <c r="C236" s="2" t="s">
        <v>12</v>
      </c>
      <c r="D236" s="2" t="s">
        <v>15</v>
      </c>
      <c r="E236" s="2" t="s">
        <v>16</v>
      </c>
      <c r="F236" s="2" t="s">
        <v>19</v>
      </c>
    </row>
    <row r="237" spans="1:6">
      <c r="A237" s="1"/>
      <c r="B237" s="1">
        <v>1</v>
      </c>
      <c r="C237" s="1">
        <v>0</v>
      </c>
      <c r="D237" s="1">
        <v>0</v>
      </c>
      <c r="E237" s="1">
        <v>0.70967741935483863</v>
      </c>
      <c r="F237" s="1">
        <v>0</v>
      </c>
    </row>
    <row r="238" spans="1:6">
      <c r="A238" s="1" t="s">
        <v>161</v>
      </c>
      <c r="B238" s="2" t="s">
        <v>8</v>
      </c>
      <c r="C238" s="2" t="s">
        <v>10</v>
      </c>
      <c r="D238" s="2" t="s">
        <v>13</v>
      </c>
      <c r="E238" s="2" t="s">
        <v>16</v>
      </c>
      <c r="F238" s="2" t="s">
        <v>20</v>
      </c>
    </row>
    <row r="239" spans="1:6">
      <c r="A239" s="1"/>
      <c r="B239" s="37">
        <v>0</v>
      </c>
      <c r="C239" s="1">
        <f>(83.75-83)/(83.75-77.8)</f>
        <v>0.12605042016806717</v>
      </c>
      <c r="D239" s="1">
        <v>1</v>
      </c>
      <c r="E239" s="1">
        <v>0.70967741935483863</v>
      </c>
      <c r="F239" s="1">
        <v>0</v>
      </c>
    </row>
    <row r="240" spans="1:6">
      <c r="A240" s="1" t="s">
        <v>162</v>
      </c>
      <c r="B240" s="2" t="s">
        <v>8</v>
      </c>
      <c r="C240" s="2" t="s">
        <v>10</v>
      </c>
      <c r="D240" s="2" t="s">
        <v>14</v>
      </c>
      <c r="E240" s="2" t="s">
        <v>17</v>
      </c>
      <c r="F240" s="2" t="s">
        <v>21</v>
      </c>
    </row>
    <row r="241" spans="1:6">
      <c r="A241" s="1"/>
      <c r="B241" s="37">
        <v>0</v>
      </c>
      <c r="C241" s="1">
        <f>(83.75-83)/(83.75-77.8)</f>
        <v>0.12605042016806717</v>
      </c>
      <c r="D241" s="1">
        <v>0</v>
      </c>
      <c r="E241" s="1">
        <v>0.29032258064516131</v>
      </c>
      <c r="F241" s="1">
        <v>0</v>
      </c>
    </row>
    <row r="242" spans="1:6">
      <c r="A242" s="1" t="s">
        <v>163</v>
      </c>
      <c r="B242" s="2" t="s">
        <v>8</v>
      </c>
      <c r="C242" s="2" t="s">
        <v>11</v>
      </c>
      <c r="D242" s="2" t="s">
        <v>13</v>
      </c>
      <c r="E242" s="2" t="s">
        <v>17</v>
      </c>
      <c r="F242" s="2" t="s">
        <v>19</v>
      </c>
    </row>
    <row r="243" spans="1:6">
      <c r="A243" s="1"/>
      <c r="B243" s="37">
        <v>0</v>
      </c>
      <c r="C243" s="1">
        <f>(83-77.8)/(83.75-77.8)</f>
        <v>0.87394957983193289</v>
      </c>
      <c r="D243" s="1">
        <v>1</v>
      </c>
      <c r="E243" s="1">
        <v>0.29032258064516131</v>
      </c>
      <c r="F243" s="1">
        <v>0</v>
      </c>
    </row>
    <row r="244" spans="1:6">
      <c r="A244" s="1" t="s">
        <v>164</v>
      </c>
      <c r="B244" s="2" t="s">
        <v>8</v>
      </c>
      <c r="C244" s="2" t="s">
        <v>11</v>
      </c>
      <c r="D244" s="2" t="s">
        <v>14</v>
      </c>
      <c r="E244" s="2" t="s">
        <v>18</v>
      </c>
      <c r="F244" s="2" t="s">
        <v>21</v>
      </c>
    </row>
    <row r="245" spans="1:6">
      <c r="A245" s="1"/>
      <c r="B245" s="37">
        <v>0</v>
      </c>
      <c r="C245" s="1">
        <f>(83-77.8)/(83.75-77.8)</f>
        <v>0.87394957983193289</v>
      </c>
      <c r="D245" s="1">
        <v>0</v>
      </c>
      <c r="E245" s="1">
        <v>0</v>
      </c>
      <c r="F245" s="1">
        <v>0</v>
      </c>
    </row>
    <row r="246" spans="1:6">
      <c r="A246" s="1" t="s">
        <v>165</v>
      </c>
      <c r="B246" s="2" t="s">
        <v>8</v>
      </c>
      <c r="C246" s="2" t="s">
        <v>12</v>
      </c>
      <c r="D246" s="2" t="s">
        <v>13</v>
      </c>
      <c r="E246" s="2" t="s">
        <v>17</v>
      </c>
      <c r="F246" s="2" t="s">
        <v>21</v>
      </c>
    </row>
    <row r="247" spans="1:6">
      <c r="A247" s="1"/>
      <c r="B247" s="37">
        <v>0</v>
      </c>
      <c r="C247" s="1">
        <v>0</v>
      </c>
      <c r="D247" s="1">
        <v>1</v>
      </c>
      <c r="E247" s="1">
        <v>0.29032258064516131</v>
      </c>
      <c r="F247" s="1">
        <v>0</v>
      </c>
    </row>
    <row r="248" spans="1:6">
      <c r="A248" s="1" t="s">
        <v>166</v>
      </c>
      <c r="B248" s="2" t="s">
        <v>8</v>
      </c>
      <c r="C248" s="2" t="s">
        <v>12</v>
      </c>
      <c r="D248" s="2" t="s">
        <v>15</v>
      </c>
      <c r="E248" s="2" t="s">
        <v>16</v>
      </c>
      <c r="F248" s="2" t="s">
        <v>22</v>
      </c>
    </row>
    <row r="249" spans="1:6">
      <c r="A249" s="1"/>
      <c r="B249" s="37">
        <v>0</v>
      </c>
      <c r="C249" s="1">
        <v>0</v>
      </c>
      <c r="D249" s="1">
        <v>0</v>
      </c>
      <c r="E249" s="1">
        <v>0.70967741935483863</v>
      </c>
      <c r="F249" s="1">
        <v>0</v>
      </c>
    </row>
    <row r="250" spans="1:6">
      <c r="A250" s="1" t="s">
        <v>167</v>
      </c>
      <c r="B250" s="2" t="s">
        <v>9</v>
      </c>
      <c r="C250" s="2" t="s">
        <v>10</v>
      </c>
      <c r="D250" s="2" t="s">
        <v>14</v>
      </c>
      <c r="E250" s="2" t="s">
        <v>16</v>
      </c>
      <c r="F250" s="2" t="s">
        <v>19</v>
      </c>
    </row>
    <row r="251" spans="1:6">
      <c r="B251" s="1">
        <v>0</v>
      </c>
      <c r="C251" s="1">
        <f>(83.75-83)/(83.75-77.8)</f>
        <v>0.12605042016806717</v>
      </c>
      <c r="D251" s="1">
        <v>0</v>
      </c>
      <c r="E251" s="1">
        <v>0.70967741935483863</v>
      </c>
      <c r="F251" s="1">
        <v>0</v>
      </c>
    </row>
    <row r="252" spans="1:6">
      <c r="A252" s="1" t="s">
        <v>168</v>
      </c>
      <c r="B252" s="2" t="s">
        <v>9</v>
      </c>
      <c r="C252" s="2" t="s">
        <v>10</v>
      </c>
      <c r="D252" s="2" t="s">
        <v>15</v>
      </c>
      <c r="E252" s="2" t="s">
        <v>18</v>
      </c>
      <c r="F252" s="2" t="s">
        <v>22</v>
      </c>
    </row>
    <row r="253" spans="1:6">
      <c r="A253" s="1"/>
      <c r="B253" s="1">
        <v>0</v>
      </c>
      <c r="C253" s="1">
        <f>(83.75-83)/(83.75-77.8)</f>
        <v>0.12605042016806717</v>
      </c>
      <c r="D253" s="1">
        <v>0</v>
      </c>
      <c r="E253" s="1">
        <v>0</v>
      </c>
      <c r="F253" s="1">
        <v>0</v>
      </c>
    </row>
    <row r="254" spans="1:6">
      <c r="A254" s="1" t="s">
        <v>169</v>
      </c>
      <c r="B254" s="2" t="s">
        <v>9</v>
      </c>
      <c r="C254" s="2" t="s">
        <v>11</v>
      </c>
      <c r="D254" s="2" t="s">
        <v>13</v>
      </c>
      <c r="E254" s="2" t="s">
        <v>18</v>
      </c>
      <c r="F254" s="2" t="s">
        <v>22</v>
      </c>
    </row>
    <row r="255" spans="1:6">
      <c r="A255" s="1"/>
      <c r="B255" s="1">
        <v>0</v>
      </c>
      <c r="C255" s="1">
        <f>(83-77.8)/(83.75-77.8)</f>
        <v>0.87394957983193289</v>
      </c>
      <c r="D255" s="1">
        <v>1</v>
      </c>
      <c r="E255" s="1">
        <v>0</v>
      </c>
      <c r="F255" s="1">
        <v>0</v>
      </c>
    </row>
    <row r="256" spans="1:6">
      <c r="A256" s="1" t="s">
        <v>170</v>
      </c>
      <c r="B256" s="2" t="s">
        <v>9</v>
      </c>
      <c r="C256" s="2" t="s">
        <v>11</v>
      </c>
      <c r="D256" s="2" t="s">
        <v>15</v>
      </c>
      <c r="E256" s="2" t="s">
        <v>16</v>
      </c>
      <c r="F256" s="2" t="s">
        <v>22</v>
      </c>
    </row>
    <row r="257" spans="1:10">
      <c r="B257" s="1">
        <v>0</v>
      </c>
      <c r="C257" s="1">
        <f>(83-77.8)/(83.75-77.8)</f>
        <v>0.87394957983193289</v>
      </c>
      <c r="D257" s="1">
        <v>0</v>
      </c>
      <c r="E257" s="1">
        <v>0.70967741935483863</v>
      </c>
      <c r="F257" s="1">
        <v>0</v>
      </c>
    </row>
    <row r="258" spans="1:10">
      <c r="A258" s="1" t="s">
        <v>171</v>
      </c>
      <c r="B258" s="2" t="s">
        <v>9</v>
      </c>
      <c r="C258" s="2" t="s">
        <v>12</v>
      </c>
      <c r="D258" s="2" t="s">
        <v>14</v>
      </c>
      <c r="E258" s="2" t="s">
        <v>17</v>
      </c>
      <c r="F258" s="2" t="s">
        <v>22</v>
      </c>
    </row>
    <row r="259" spans="1:10">
      <c r="A259" s="1"/>
      <c r="B259" s="1">
        <v>0</v>
      </c>
      <c r="C259" s="1">
        <v>0</v>
      </c>
      <c r="D259" s="1">
        <v>0</v>
      </c>
      <c r="E259" s="1">
        <v>0.29032258064516131</v>
      </c>
      <c r="F259" s="1">
        <v>0</v>
      </c>
    </row>
    <row r="260" spans="1:10">
      <c r="A260" s="1" t="s">
        <v>172</v>
      </c>
      <c r="B260" s="2" t="s">
        <v>9</v>
      </c>
      <c r="C260" s="2" t="s">
        <v>12</v>
      </c>
      <c r="D260" s="2" t="s">
        <v>15</v>
      </c>
      <c r="E260" s="2" t="s">
        <v>18</v>
      </c>
      <c r="F260" s="2" t="s">
        <v>22</v>
      </c>
    </row>
    <row r="261" spans="1:10">
      <c r="B261" s="1">
        <v>0</v>
      </c>
      <c r="C261" s="1">
        <v>0</v>
      </c>
      <c r="D261" s="1">
        <v>0</v>
      </c>
      <c r="E261" s="1">
        <v>0</v>
      </c>
      <c r="F261" s="1">
        <v>0</v>
      </c>
    </row>
    <row r="264" spans="1:10" s="50" customFormat="1">
      <c r="A264" s="56" t="s">
        <v>173</v>
      </c>
    </row>
    <row r="265" spans="1:10" s="1" customFormat="1"/>
    <row r="266" spans="1:10" s="1" customFormat="1">
      <c r="A266" s="1" t="s">
        <v>258</v>
      </c>
      <c r="B266" s="53">
        <f>(83.75-83)/(83.75-77.8)</f>
        <v>0.12605042016806717</v>
      </c>
    </row>
    <row r="267" spans="1:10" s="1" customFormat="1"/>
    <row r="268" spans="1:10" s="1" customFormat="1"/>
    <row r="270" spans="1:10">
      <c r="A270" s="2" t="s">
        <v>30</v>
      </c>
      <c r="B270" s="2" t="s">
        <v>175</v>
      </c>
      <c r="C270" s="2" t="s">
        <v>176</v>
      </c>
      <c r="D270" s="2" t="s">
        <v>177</v>
      </c>
      <c r="E270" s="54" t="s">
        <v>178</v>
      </c>
      <c r="F270" s="41" t="s">
        <v>206</v>
      </c>
      <c r="G270" s="41" t="s">
        <v>207</v>
      </c>
      <c r="H270" s="41" t="s">
        <v>208</v>
      </c>
      <c r="I270" s="41" t="s">
        <v>209</v>
      </c>
      <c r="J270" s="42" t="s">
        <v>210</v>
      </c>
    </row>
    <row r="271" spans="1:10">
      <c r="A271" s="2">
        <v>0</v>
      </c>
      <c r="B271" s="2">
        <v>1</v>
      </c>
      <c r="C271" s="2">
        <v>0</v>
      </c>
      <c r="D271" s="2">
        <v>0</v>
      </c>
      <c r="E271" s="54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>
      <c r="A272" s="2">
        <v>1</v>
      </c>
      <c r="B272" s="2">
        <v>1</v>
      </c>
      <c r="C272" s="2">
        <v>0</v>
      </c>
      <c r="D272" s="2">
        <v>0</v>
      </c>
      <c r="E272" s="54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>
      <c r="A273" s="2">
        <v>2</v>
      </c>
      <c r="B273" s="2">
        <v>1</v>
      </c>
      <c r="C273" s="2">
        <v>0</v>
      </c>
      <c r="D273" s="2">
        <v>0</v>
      </c>
      <c r="E273" s="54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>
      <c r="A274" s="2">
        <v>3</v>
      </c>
      <c r="B274" s="2">
        <v>0.5</v>
      </c>
      <c r="C274" s="2">
        <v>0.16666666666666666</v>
      </c>
      <c r="D274" s="2">
        <v>0</v>
      </c>
      <c r="E274" s="54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>
      <c r="A275" s="2">
        <v>4</v>
      </c>
      <c r="B275" s="2">
        <v>0</v>
      </c>
      <c r="C275" s="2">
        <v>0.33333333333333331</v>
      </c>
      <c r="D275" s="2">
        <v>0</v>
      </c>
      <c r="E275" s="54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6" spans="1:10">
      <c r="A276" s="2">
        <v>5</v>
      </c>
      <c r="B276" s="2">
        <v>0</v>
      </c>
      <c r="C276" s="2">
        <v>0.5</v>
      </c>
      <c r="D276" s="2">
        <v>0</v>
      </c>
      <c r="E276" s="54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</row>
    <row r="277" spans="1:10">
      <c r="A277" s="2">
        <v>6</v>
      </c>
      <c r="B277" s="2">
        <v>0</v>
      </c>
      <c r="C277" s="2">
        <v>0.66666666666666663</v>
      </c>
      <c r="D277" s="2">
        <v>0</v>
      </c>
      <c r="E277" s="54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</row>
    <row r="278" spans="1:10">
      <c r="A278" s="2">
        <v>7</v>
      </c>
      <c r="B278" s="2">
        <v>0</v>
      </c>
      <c r="C278" s="2">
        <v>0.83333333333333337</v>
      </c>
      <c r="D278" s="2">
        <v>0.125</v>
      </c>
      <c r="E278" s="54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</row>
    <row r="279" spans="1:10">
      <c r="A279" s="2">
        <v>8</v>
      </c>
      <c r="B279" s="2">
        <v>0</v>
      </c>
      <c r="C279" s="2">
        <v>1</v>
      </c>
      <c r="D279" s="2">
        <v>0.25</v>
      </c>
      <c r="E279" s="54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</row>
    <row r="280" spans="1:10">
      <c r="A280" s="2">
        <v>9</v>
      </c>
      <c r="B280" s="2">
        <v>0</v>
      </c>
      <c r="C280" s="2">
        <v>0.83333333333333337</v>
      </c>
      <c r="D280" s="2">
        <v>0.375</v>
      </c>
      <c r="E280" s="54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</row>
    <row r="281" spans="1:10">
      <c r="A281" s="2">
        <v>10</v>
      </c>
      <c r="B281" s="2">
        <v>0</v>
      </c>
      <c r="C281" s="2">
        <v>0.66666666666666663</v>
      </c>
      <c r="D281" s="2">
        <v>0.5</v>
      </c>
      <c r="E281" s="54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</row>
    <row r="282" spans="1:10">
      <c r="A282" s="2">
        <v>11</v>
      </c>
      <c r="B282" s="2">
        <v>0</v>
      </c>
      <c r="C282" s="2">
        <v>0.5</v>
      </c>
      <c r="D282" s="2">
        <v>0.625</v>
      </c>
      <c r="E282" s="54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</row>
    <row r="283" spans="1:10">
      <c r="A283" s="2">
        <v>12</v>
      </c>
      <c r="B283" s="2">
        <v>0</v>
      </c>
      <c r="C283" s="2">
        <v>0.33333333333333331</v>
      </c>
      <c r="D283" s="2">
        <v>0.75</v>
      </c>
      <c r="E283" s="54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</row>
    <row r="284" spans="1:10">
      <c r="A284" s="2">
        <v>13</v>
      </c>
      <c r="B284" s="2">
        <v>0</v>
      </c>
      <c r="C284" s="2">
        <v>0.16666666666666666</v>
      </c>
      <c r="D284" s="2">
        <v>0.875</v>
      </c>
      <c r="E284" s="54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</row>
    <row r="285" spans="1:10">
      <c r="A285" s="2">
        <v>14</v>
      </c>
      <c r="B285" s="2">
        <v>0</v>
      </c>
      <c r="C285" s="2">
        <v>0</v>
      </c>
      <c r="D285" s="2">
        <v>1</v>
      </c>
      <c r="E285" s="54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</row>
    <row r="286" spans="1:10">
      <c r="A286" s="2">
        <v>15</v>
      </c>
      <c r="B286" s="2">
        <v>0</v>
      </c>
      <c r="C286" s="2">
        <v>0</v>
      </c>
      <c r="D286" s="2">
        <v>0.875</v>
      </c>
      <c r="E286" s="54">
        <v>0.125</v>
      </c>
      <c r="F286" s="2">
        <v>0</v>
      </c>
      <c r="G286" s="2">
        <v>0</v>
      </c>
      <c r="H286" s="2">
        <v>0</v>
      </c>
      <c r="I286" s="2">
        <v>0.125</v>
      </c>
      <c r="J286" s="2">
        <v>0.125</v>
      </c>
    </row>
    <row r="287" spans="1:10">
      <c r="A287" s="2">
        <v>16</v>
      </c>
      <c r="B287" s="2">
        <v>0</v>
      </c>
      <c r="C287" s="2">
        <v>0</v>
      </c>
      <c r="D287" s="2">
        <v>0.75</v>
      </c>
      <c r="E287" s="54">
        <v>0.25</v>
      </c>
      <c r="F287" s="2">
        <v>0</v>
      </c>
      <c r="G287" s="2">
        <v>0</v>
      </c>
      <c r="H287" s="2">
        <v>0</v>
      </c>
      <c r="I287" s="2">
        <v>0.126</v>
      </c>
      <c r="J287" s="2">
        <v>0.126</v>
      </c>
    </row>
    <row r="288" spans="1:10">
      <c r="A288" s="2">
        <v>17</v>
      </c>
      <c r="B288" s="2">
        <v>0</v>
      </c>
      <c r="C288" s="2">
        <v>0</v>
      </c>
      <c r="D288" s="2">
        <v>0.625</v>
      </c>
      <c r="E288" s="54">
        <v>0.375</v>
      </c>
      <c r="F288" s="2">
        <v>0</v>
      </c>
      <c r="G288" s="2">
        <v>0</v>
      </c>
      <c r="H288" s="2">
        <v>0</v>
      </c>
      <c r="I288" s="2">
        <v>0.126</v>
      </c>
      <c r="J288" s="2">
        <v>0.126</v>
      </c>
    </row>
    <row r="289" spans="1:10">
      <c r="A289" s="2">
        <v>18</v>
      </c>
      <c r="B289" s="2">
        <v>0</v>
      </c>
      <c r="C289" s="2">
        <v>0</v>
      </c>
      <c r="D289" s="2">
        <v>0.5</v>
      </c>
      <c r="E289" s="54">
        <v>0.5</v>
      </c>
      <c r="F289" s="2">
        <v>0</v>
      </c>
      <c r="G289" s="2">
        <v>0</v>
      </c>
      <c r="H289" s="2">
        <v>0</v>
      </c>
      <c r="I289" s="2">
        <v>0.126</v>
      </c>
      <c r="J289" s="2">
        <v>0.126</v>
      </c>
    </row>
    <row r="290" spans="1:10">
      <c r="A290" s="2">
        <v>19</v>
      </c>
      <c r="B290" s="2">
        <v>0</v>
      </c>
      <c r="C290" s="2">
        <v>0</v>
      </c>
      <c r="D290" s="2">
        <v>0.375</v>
      </c>
      <c r="E290" s="54">
        <v>0.625</v>
      </c>
      <c r="F290" s="2">
        <v>0</v>
      </c>
      <c r="G290" s="2">
        <v>0</v>
      </c>
      <c r="H290" s="2">
        <v>0</v>
      </c>
      <c r="I290" s="2">
        <v>0.126</v>
      </c>
      <c r="J290" s="2">
        <v>0.126</v>
      </c>
    </row>
    <row r="291" spans="1:10">
      <c r="A291" s="2">
        <v>20</v>
      </c>
      <c r="B291" s="2">
        <v>0</v>
      </c>
      <c r="C291" s="2">
        <v>0</v>
      </c>
      <c r="D291" s="2">
        <v>0.25</v>
      </c>
      <c r="E291" s="54">
        <v>0.75</v>
      </c>
      <c r="F291" s="2">
        <v>0</v>
      </c>
      <c r="G291" s="2">
        <v>0</v>
      </c>
      <c r="H291" s="2">
        <v>0</v>
      </c>
      <c r="I291" s="2">
        <v>0.126</v>
      </c>
      <c r="J291" s="2">
        <v>0.126</v>
      </c>
    </row>
    <row r="292" spans="1:10">
      <c r="A292" s="2">
        <v>21</v>
      </c>
      <c r="B292" s="2">
        <v>0</v>
      </c>
      <c r="C292" s="2">
        <v>0</v>
      </c>
      <c r="D292" s="2">
        <v>0.125</v>
      </c>
      <c r="E292" s="54">
        <v>0.875</v>
      </c>
      <c r="F292" s="2">
        <v>0</v>
      </c>
      <c r="G292" s="2">
        <v>0</v>
      </c>
      <c r="H292" s="2">
        <v>0</v>
      </c>
      <c r="I292" s="2">
        <v>0.126</v>
      </c>
      <c r="J292" s="2">
        <v>0.126</v>
      </c>
    </row>
    <row r="293" spans="1:10">
      <c r="A293" s="2">
        <v>22</v>
      </c>
      <c r="B293" s="2">
        <v>0</v>
      </c>
      <c r="C293" s="2">
        <v>0</v>
      </c>
      <c r="D293" s="2">
        <v>0</v>
      </c>
      <c r="E293" s="54">
        <v>1</v>
      </c>
      <c r="F293" s="2">
        <v>0</v>
      </c>
      <c r="G293" s="2">
        <v>0</v>
      </c>
      <c r="H293" s="2">
        <v>0</v>
      </c>
      <c r="I293" s="2">
        <v>0.126</v>
      </c>
      <c r="J293" s="2">
        <v>0.126</v>
      </c>
    </row>
    <row r="294" spans="1:10">
      <c r="A294" s="2">
        <v>23</v>
      </c>
      <c r="B294" s="2">
        <v>0</v>
      </c>
      <c r="C294" s="2">
        <v>0</v>
      </c>
      <c r="D294" s="2">
        <v>0</v>
      </c>
      <c r="E294" s="54">
        <v>1</v>
      </c>
      <c r="F294" s="2">
        <v>0</v>
      </c>
      <c r="G294" s="2">
        <v>0</v>
      </c>
      <c r="H294" s="2">
        <v>0</v>
      </c>
      <c r="I294" s="2">
        <v>0.126</v>
      </c>
      <c r="J294" s="2">
        <v>0.126</v>
      </c>
    </row>
    <row r="295" spans="1:10">
      <c r="A295" s="2">
        <v>24</v>
      </c>
      <c r="B295" s="2">
        <v>0</v>
      </c>
      <c r="C295" s="2">
        <v>0</v>
      </c>
      <c r="D295" s="2">
        <v>0</v>
      </c>
      <c r="E295" s="54">
        <v>1</v>
      </c>
      <c r="F295" s="2">
        <v>0</v>
      </c>
      <c r="G295" s="2">
        <v>0</v>
      </c>
      <c r="H295" s="2">
        <v>0</v>
      </c>
      <c r="I295" s="2">
        <v>0.126</v>
      </c>
      <c r="J295" s="2">
        <v>0.126</v>
      </c>
    </row>
    <row r="296" spans="1:10">
      <c r="A296" s="2">
        <v>25</v>
      </c>
      <c r="B296" s="2">
        <v>0</v>
      </c>
      <c r="C296" s="2">
        <v>0</v>
      </c>
      <c r="D296" s="2">
        <v>0</v>
      </c>
      <c r="E296" s="54">
        <v>1</v>
      </c>
      <c r="F296" s="2">
        <v>0</v>
      </c>
      <c r="G296" s="2">
        <v>0</v>
      </c>
      <c r="H296" s="2">
        <v>0</v>
      </c>
      <c r="I296" s="2">
        <v>0.126</v>
      </c>
      <c r="J296" s="2">
        <v>0.126</v>
      </c>
    </row>
    <row r="299" spans="1:10" s="49" customFormat="1">
      <c r="A299" s="49" t="s">
        <v>201</v>
      </c>
    </row>
    <row r="302" spans="1:10">
      <c r="A302" s="1" t="s">
        <v>309</v>
      </c>
      <c r="B302" s="1">
        <f>((15*0.125)+((16+17+18+19+20+21+22+23+24+25)*0.126))/((10*0.126)+(0.125))</f>
        <v>20.003610108303249</v>
      </c>
    </row>
    <row r="303" spans="1:10">
      <c r="B303" s="1" t="s">
        <v>178</v>
      </c>
    </row>
  </sheetData>
  <mergeCells count="4">
    <mergeCell ref="B16:D16"/>
    <mergeCell ref="E16:G16"/>
    <mergeCell ref="H16:J16"/>
    <mergeCell ref="K16:M16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FDA7-4E51-4272-ABA5-3CDF9AD108A3}">
  <dimension ref="A1:M28"/>
  <sheetViews>
    <sheetView topLeftCell="A5" workbookViewId="0">
      <selection activeCell="S5" sqref="S5"/>
    </sheetView>
  </sheetViews>
  <sheetFormatPr defaultRowHeight="15"/>
  <sheetData>
    <row r="1" spans="1:13">
      <c r="A1" s="70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13">
      <c r="A2" s="75" t="s">
        <v>30</v>
      </c>
      <c r="B2" s="41" t="s">
        <v>206</v>
      </c>
      <c r="C2" s="41" t="s">
        <v>207</v>
      </c>
      <c r="D2" s="41" t="s">
        <v>208</v>
      </c>
      <c r="E2" s="41" t="s">
        <v>209</v>
      </c>
      <c r="J2" s="71"/>
      <c r="K2" s="71"/>
      <c r="L2" s="71"/>
      <c r="M2" s="71"/>
    </row>
    <row r="3" spans="1:13">
      <c r="A3" s="75">
        <v>0</v>
      </c>
      <c r="B3" s="75">
        <v>0</v>
      </c>
      <c r="C3" s="75">
        <v>0</v>
      </c>
      <c r="D3" s="75">
        <v>0</v>
      </c>
      <c r="E3" s="75">
        <v>0</v>
      </c>
      <c r="J3" s="72"/>
      <c r="K3" s="72"/>
      <c r="L3" s="72"/>
      <c r="M3" s="72"/>
    </row>
    <row r="4" spans="1:13">
      <c r="A4" s="75">
        <v>1</v>
      </c>
      <c r="B4" s="75">
        <v>0</v>
      </c>
      <c r="C4" s="75">
        <v>0</v>
      </c>
      <c r="D4" s="75">
        <v>0</v>
      </c>
      <c r="E4" s="75">
        <v>0</v>
      </c>
      <c r="J4" s="72"/>
      <c r="K4" s="72"/>
      <c r="L4" s="72"/>
      <c r="M4" s="72"/>
    </row>
    <row r="5" spans="1:13">
      <c r="A5" s="75">
        <v>2</v>
      </c>
      <c r="B5" s="75">
        <v>0</v>
      </c>
      <c r="C5" s="75">
        <v>0</v>
      </c>
      <c r="D5" s="75">
        <v>0</v>
      </c>
      <c r="E5" s="75">
        <v>0</v>
      </c>
      <c r="J5" s="72"/>
      <c r="K5" s="72"/>
      <c r="L5" s="72"/>
      <c r="M5" s="72"/>
    </row>
    <row r="6" spans="1:13">
      <c r="A6" s="75">
        <v>3</v>
      </c>
      <c r="B6" s="75">
        <v>0</v>
      </c>
      <c r="C6" s="75">
        <v>0.13600000000000001</v>
      </c>
      <c r="D6" s="75">
        <v>0</v>
      </c>
      <c r="E6" s="75">
        <v>0</v>
      </c>
    </row>
    <row r="7" spans="1:13">
      <c r="A7" s="75">
        <v>4</v>
      </c>
      <c r="B7" s="75">
        <v>0</v>
      </c>
      <c r="C7" s="75">
        <v>0.13600000000000001</v>
      </c>
      <c r="D7" s="75">
        <v>0</v>
      </c>
      <c r="E7" s="75">
        <v>0</v>
      </c>
    </row>
    <row r="8" spans="1:13">
      <c r="A8" s="75">
        <v>5</v>
      </c>
      <c r="B8" s="75">
        <v>0</v>
      </c>
      <c r="C8" s="75">
        <v>0.13600000000000001</v>
      </c>
      <c r="D8" s="75">
        <v>0</v>
      </c>
      <c r="E8" s="75">
        <v>0</v>
      </c>
    </row>
    <row r="9" spans="1:13">
      <c r="A9" s="75">
        <v>6</v>
      </c>
      <c r="B9" s="75">
        <v>0</v>
      </c>
      <c r="C9" s="75">
        <v>0.13600000000000001</v>
      </c>
      <c r="D9" s="75">
        <v>0</v>
      </c>
      <c r="E9" s="75">
        <v>0</v>
      </c>
    </row>
    <row r="10" spans="1:13">
      <c r="A10" s="75">
        <v>7</v>
      </c>
      <c r="B10" s="75">
        <v>0</v>
      </c>
      <c r="C10" s="75">
        <v>0.13600000000000001</v>
      </c>
      <c r="D10" s="75">
        <v>0</v>
      </c>
      <c r="E10" s="75">
        <v>0</v>
      </c>
    </row>
    <row r="11" spans="1:13">
      <c r="A11" s="75">
        <v>8</v>
      </c>
      <c r="B11" s="75">
        <v>0</v>
      </c>
      <c r="C11" s="75">
        <v>0.13600000000000001</v>
      </c>
      <c r="D11" s="75">
        <v>0</v>
      </c>
      <c r="E11" s="75">
        <v>0</v>
      </c>
    </row>
    <row r="12" spans="1:13">
      <c r="A12" s="75">
        <v>9</v>
      </c>
      <c r="B12" s="75">
        <v>0</v>
      </c>
      <c r="C12" s="75">
        <v>0.13600000000000001</v>
      </c>
      <c r="D12" s="75">
        <v>0</v>
      </c>
      <c r="E12" s="75">
        <v>0</v>
      </c>
    </row>
    <row r="13" spans="1:13">
      <c r="A13" s="75">
        <v>10</v>
      </c>
      <c r="B13" s="75">
        <v>0</v>
      </c>
      <c r="C13" s="75">
        <v>0.13600000000000001</v>
      </c>
      <c r="D13" s="75">
        <v>0</v>
      </c>
      <c r="E13" s="75">
        <v>0</v>
      </c>
    </row>
    <row r="14" spans="1:13">
      <c r="A14" s="75">
        <v>11</v>
      </c>
      <c r="B14" s="75">
        <v>0</v>
      </c>
      <c r="C14" s="75">
        <v>0.13600000000000001</v>
      </c>
      <c r="D14" s="75">
        <v>0</v>
      </c>
      <c r="E14" s="75">
        <v>0</v>
      </c>
    </row>
    <row r="15" spans="1:13">
      <c r="A15" s="75">
        <v>12</v>
      </c>
      <c r="B15" s="75">
        <v>0</v>
      </c>
      <c r="C15" s="75">
        <v>0.13600000000000001</v>
      </c>
      <c r="D15" s="75">
        <v>0</v>
      </c>
      <c r="E15" s="75">
        <v>0</v>
      </c>
    </row>
    <row r="16" spans="1:13">
      <c r="A16" s="75">
        <v>13</v>
      </c>
      <c r="B16" s="75">
        <v>0</v>
      </c>
      <c r="C16" s="75">
        <v>0.13600000000000001</v>
      </c>
      <c r="D16" s="75">
        <v>0</v>
      </c>
      <c r="E16" s="75">
        <v>0</v>
      </c>
    </row>
    <row r="17" spans="1:5">
      <c r="A17" s="75">
        <v>14</v>
      </c>
      <c r="B17" s="75">
        <v>0</v>
      </c>
      <c r="C17" s="75">
        <v>0</v>
      </c>
      <c r="D17" s="75">
        <v>0</v>
      </c>
      <c r="E17" s="75">
        <v>0</v>
      </c>
    </row>
    <row r="18" spans="1:5">
      <c r="A18" s="75">
        <v>15</v>
      </c>
      <c r="B18" s="75">
        <v>0</v>
      </c>
      <c r="C18" s="75">
        <v>0</v>
      </c>
      <c r="D18" s="75">
        <v>0</v>
      </c>
      <c r="E18" s="75">
        <v>0.125</v>
      </c>
    </row>
    <row r="19" spans="1:5">
      <c r="A19" s="75">
        <v>16</v>
      </c>
      <c r="B19" s="75">
        <v>0</v>
      </c>
      <c r="C19" s="75">
        <v>0</v>
      </c>
      <c r="D19" s="75">
        <v>0</v>
      </c>
      <c r="E19" s="75">
        <v>0.25</v>
      </c>
    </row>
    <row r="20" spans="1:5">
      <c r="A20" s="75">
        <v>17</v>
      </c>
      <c r="B20" s="75">
        <v>0</v>
      </c>
      <c r="C20" s="75">
        <v>0</v>
      </c>
      <c r="D20" s="75">
        <v>0</v>
      </c>
      <c r="E20" s="75">
        <v>0.375</v>
      </c>
    </row>
    <row r="21" spans="1:5">
      <c r="A21" s="75">
        <v>18</v>
      </c>
      <c r="B21" s="75">
        <v>0</v>
      </c>
      <c r="C21" s="75">
        <v>0</v>
      </c>
      <c r="D21" s="75">
        <v>0</v>
      </c>
      <c r="E21" s="75">
        <v>0.5</v>
      </c>
    </row>
    <row r="22" spans="1:5">
      <c r="A22" s="75">
        <v>19</v>
      </c>
      <c r="B22" s="75">
        <v>0</v>
      </c>
      <c r="C22" s="75">
        <v>0</v>
      </c>
      <c r="D22" s="75">
        <v>0</v>
      </c>
      <c r="E22" s="75">
        <v>0.505</v>
      </c>
    </row>
    <row r="23" spans="1:5">
      <c r="A23" s="75">
        <v>20</v>
      </c>
      <c r="B23" s="75">
        <v>0</v>
      </c>
      <c r="C23" s="75">
        <v>0</v>
      </c>
      <c r="D23" s="75">
        <v>0</v>
      </c>
      <c r="E23" s="75">
        <v>0.505</v>
      </c>
    </row>
    <row r="24" spans="1:5">
      <c r="A24" s="75">
        <v>21</v>
      </c>
      <c r="B24" s="75">
        <v>0</v>
      </c>
      <c r="C24" s="75">
        <v>0</v>
      </c>
      <c r="D24" s="75">
        <v>0</v>
      </c>
      <c r="E24" s="75">
        <v>0.505</v>
      </c>
    </row>
    <row r="25" spans="1:5">
      <c r="A25" s="75">
        <v>22</v>
      </c>
      <c r="B25" s="75">
        <v>0</v>
      </c>
      <c r="C25" s="75">
        <v>0</v>
      </c>
      <c r="D25" s="75">
        <v>0</v>
      </c>
      <c r="E25" s="75">
        <v>0.505</v>
      </c>
    </row>
    <row r="26" spans="1:5">
      <c r="A26" s="75">
        <v>23</v>
      </c>
      <c r="B26" s="75">
        <v>0</v>
      </c>
      <c r="C26" s="75">
        <v>0</v>
      </c>
      <c r="D26" s="75">
        <v>0</v>
      </c>
      <c r="E26" s="75">
        <v>0.505</v>
      </c>
    </row>
    <row r="27" spans="1:5">
      <c r="A27" s="75">
        <v>24</v>
      </c>
      <c r="B27" s="75">
        <v>0</v>
      </c>
      <c r="C27" s="75">
        <v>0</v>
      </c>
      <c r="D27" s="75">
        <v>0</v>
      </c>
      <c r="E27" s="75">
        <v>0.505</v>
      </c>
    </row>
    <row r="28" spans="1:5">
      <c r="A28" s="75">
        <v>25</v>
      </c>
      <c r="B28" s="75">
        <v>0</v>
      </c>
      <c r="C28" s="75">
        <v>0</v>
      </c>
      <c r="D28" s="75">
        <v>0</v>
      </c>
      <c r="E28" s="75">
        <v>0.505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2926-9826-4B20-B983-B9BEA2245960}">
  <dimension ref="A2:M282"/>
  <sheetViews>
    <sheetView topLeftCell="D7" workbookViewId="0">
      <selection activeCell="K4" sqref="K4:M15"/>
    </sheetView>
  </sheetViews>
  <sheetFormatPr defaultRowHeight="15"/>
  <cols>
    <col min="1" max="1" width="13.85546875" customWidth="1"/>
    <col min="2" max="2" width="15.28515625" customWidth="1"/>
    <col min="3" max="3" width="23.28515625" customWidth="1"/>
    <col min="4" max="4" width="22.42578125" customWidth="1"/>
    <col min="5" max="5" width="14.85546875" customWidth="1"/>
    <col min="6" max="6" width="20.85546875" customWidth="1"/>
    <col min="7" max="7" width="23.7109375" customWidth="1"/>
    <col min="8" max="8" width="12.7109375" customWidth="1"/>
    <col min="9" max="9" width="29.42578125" customWidth="1"/>
    <col min="10" max="10" width="26.85546875" customWidth="1"/>
    <col min="11" max="11" width="9.85546875" customWidth="1"/>
    <col min="12" max="12" width="20.7109375" customWidth="1"/>
    <col min="13" max="13" width="19" customWidth="1"/>
  </cols>
  <sheetData>
    <row r="2" spans="1:13">
      <c r="A2" s="1" t="s">
        <v>55</v>
      </c>
      <c r="B2" s="45">
        <v>25</v>
      </c>
      <c r="C2" s="45">
        <v>26.1</v>
      </c>
      <c r="D2" s="45">
        <v>27.25</v>
      </c>
      <c r="E2" s="3">
        <v>63</v>
      </c>
      <c r="F2" s="3">
        <v>68.760000000000005</v>
      </c>
      <c r="G2" s="3">
        <v>72.900000000000006</v>
      </c>
      <c r="H2" s="46">
        <v>1007.54</v>
      </c>
      <c r="I2" s="46">
        <v>1009.8</v>
      </c>
      <c r="J2" s="46">
        <v>1011.8</v>
      </c>
      <c r="K2" s="47">
        <v>1.7</v>
      </c>
      <c r="L2" s="47">
        <v>3.6</v>
      </c>
      <c r="M2" s="47">
        <v>6.1749999999999998</v>
      </c>
    </row>
    <row r="4" spans="1:13">
      <c r="C4" s="30">
        <v>1</v>
      </c>
      <c r="D4" s="30" t="s">
        <v>261</v>
      </c>
      <c r="F4" s="30">
        <v>1</v>
      </c>
      <c r="G4" s="30" t="s">
        <v>262</v>
      </c>
      <c r="I4" s="30">
        <v>1</v>
      </c>
      <c r="J4" s="30" t="s">
        <v>263</v>
      </c>
      <c r="L4" s="30">
        <v>1</v>
      </c>
      <c r="M4" s="30" t="s">
        <v>264</v>
      </c>
    </row>
    <row r="5" spans="1:13">
      <c r="B5" s="29" t="s">
        <v>72</v>
      </c>
      <c r="C5" s="31" t="s">
        <v>265</v>
      </c>
      <c r="D5" s="30" t="s">
        <v>266</v>
      </c>
      <c r="E5" s="29" t="s">
        <v>89</v>
      </c>
      <c r="F5" s="31" t="s">
        <v>267</v>
      </c>
      <c r="G5" s="30" t="s">
        <v>268</v>
      </c>
      <c r="H5" s="29" t="s">
        <v>110</v>
      </c>
      <c r="I5" s="31" t="s">
        <v>269</v>
      </c>
      <c r="J5" s="30" t="s">
        <v>270</v>
      </c>
      <c r="K5" s="29" t="s">
        <v>134</v>
      </c>
      <c r="L5" s="31" t="s">
        <v>271</v>
      </c>
      <c r="M5" s="30" t="s">
        <v>272</v>
      </c>
    </row>
    <row r="6" spans="1:13">
      <c r="C6" s="30">
        <v>0</v>
      </c>
      <c r="D6" s="30" t="s">
        <v>273</v>
      </c>
      <c r="F6" s="30">
        <v>0</v>
      </c>
      <c r="G6" s="30" t="s">
        <v>274</v>
      </c>
      <c r="I6" s="30">
        <v>0</v>
      </c>
      <c r="J6" s="30" t="s">
        <v>275</v>
      </c>
      <c r="L6" s="30">
        <v>0</v>
      </c>
      <c r="M6" s="30" t="s">
        <v>276</v>
      </c>
    </row>
    <row r="8" spans="1:13">
      <c r="C8" s="30" t="s">
        <v>277</v>
      </c>
      <c r="D8" s="30" t="s">
        <v>278</v>
      </c>
      <c r="F8" s="30" t="s">
        <v>279</v>
      </c>
      <c r="G8" s="30" t="s">
        <v>280</v>
      </c>
      <c r="I8" s="30" t="s">
        <v>281</v>
      </c>
      <c r="J8" s="30" t="s">
        <v>282</v>
      </c>
      <c r="L8" s="30" t="s">
        <v>283</v>
      </c>
      <c r="M8" s="30" t="s">
        <v>284</v>
      </c>
    </row>
    <row r="9" spans="1:13" ht="20.25" customHeight="1">
      <c r="B9" s="29" t="s">
        <v>77</v>
      </c>
      <c r="C9" s="31" t="s">
        <v>285</v>
      </c>
      <c r="D9" s="30" t="s">
        <v>286</v>
      </c>
      <c r="E9" s="29" t="s">
        <v>90</v>
      </c>
      <c r="F9" s="31" t="s">
        <v>287</v>
      </c>
      <c r="G9" s="30" t="s">
        <v>288</v>
      </c>
      <c r="H9" s="29" t="s">
        <v>111</v>
      </c>
      <c r="I9" s="31" t="s">
        <v>311</v>
      </c>
      <c r="J9" s="30" t="s">
        <v>289</v>
      </c>
      <c r="K9" s="29" t="s">
        <v>135</v>
      </c>
      <c r="L9" s="31" t="s">
        <v>290</v>
      </c>
      <c r="M9" s="30" t="s">
        <v>291</v>
      </c>
    </row>
    <row r="10" spans="1:13">
      <c r="C10" s="30">
        <v>0</v>
      </c>
      <c r="D10" s="30" t="s">
        <v>292</v>
      </c>
      <c r="F10" s="30">
        <v>0</v>
      </c>
      <c r="G10" s="30" t="s">
        <v>293</v>
      </c>
      <c r="I10" s="30">
        <v>0</v>
      </c>
      <c r="J10" s="30" t="s">
        <v>294</v>
      </c>
      <c r="L10" s="30">
        <v>0</v>
      </c>
      <c r="M10" s="30" t="s">
        <v>295</v>
      </c>
    </row>
    <row r="13" spans="1:13">
      <c r="C13" s="30">
        <v>0</v>
      </c>
      <c r="D13" s="30" t="s">
        <v>296</v>
      </c>
      <c r="F13" s="30">
        <v>0</v>
      </c>
      <c r="G13" s="30" t="s">
        <v>297</v>
      </c>
      <c r="I13" s="30">
        <v>0</v>
      </c>
      <c r="J13" s="30" t="s">
        <v>298</v>
      </c>
      <c r="L13" s="30">
        <v>0</v>
      </c>
      <c r="M13" s="30" t="s">
        <v>299</v>
      </c>
    </row>
    <row r="14" spans="1:13">
      <c r="B14" s="29" t="s">
        <v>83</v>
      </c>
      <c r="C14" s="31" t="s">
        <v>300</v>
      </c>
      <c r="D14" s="30" t="s">
        <v>286</v>
      </c>
      <c r="E14" s="29" t="s">
        <v>91</v>
      </c>
      <c r="F14" s="31" t="s">
        <v>301</v>
      </c>
      <c r="G14" s="30" t="s">
        <v>288</v>
      </c>
      <c r="H14" s="29" t="s">
        <v>112</v>
      </c>
      <c r="I14" s="31" t="s">
        <v>302</v>
      </c>
      <c r="J14" s="30" t="s">
        <v>289</v>
      </c>
      <c r="K14" s="29" t="s">
        <v>136</v>
      </c>
      <c r="L14" s="31" t="s">
        <v>303</v>
      </c>
      <c r="M14" s="30" t="s">
        <v>291</v>
      </c>
    </row>
    <row r="15" spans="1:13">
      <c r="C15" s="30">
        <v>1</v>
      </c>
      <c r="D15" s="30" t="s">
        <v>304</v>
      </c>
      <c r="F15" s="30">
        <v>1</v>
      </c>
      <c r="G15" s="30" t="s">
        <v>305</v>
      </c>
      <c r="I15" s="30">
        <v>1</v>
      </c>
      <c r="J15" s="30" t="s">
        <v>306</v>
      </c>
      <c r="L15" s="30">
        <v>1</v>
      </c>
      <c r="M15" s="30" t="s">
        <v>307</v>
      </c>
    </row>
    <row r="18" spans="1:9" s="38" customFormat="1">
      <c r="A18" s="38" t="s">
        <v>151</v>
      </c>
    </row>
    <row r="20" spans="1:9">
      <c r="A20" s="1" t="s">
        <v>153</v>
      </c>
      <c r="B20" s="1"/>
      <c r="C20" s="2">
        <v>26.2</v>
      </c>
      <c r="D20" s="1"/>
      <c r="E20" s="2">
        <v>80</v>
      </c>
      <c r="F20" s="1"/>
      <c r="G20" s="2">
        <v>1010.8</v>
      </c>
      <c r="H20" s="1"/>
      <c r="I20" s="2">
        <v>5</v>
      </c>
    </row>
    <row r="21" spans="1:9">
      <c r="A21" s="1"/>
      <c r="B21" s="1" t="s">
        <v>72</v>
      </c>
      <c r="C21" s="1">
        <v>0</v>
      </c>
      <c r="D21" s="1" t="s">
        <v>89</v>
      </c>
      <c r="E21" s="1">
        <v>0</v>
      </c>
      <c r="F21" s="1" t="s">
        <v>110</v>
      </c>
      <c r="G21" s="1">
        <v>0</v>
      </c>
      <c r="H21" s="1" t="s">
        <v>134</v>
      </c>
      <c r="I21" s="1">
        <v>0</v>
      </c>
    </row>
    <row r="22" spans="1:9">
      <c r="A22" s="1"/>
      <c r="B22" s="1" t="s">
        <v>77</v>
      </c>
      <c r="C22" s="1">
        <f>(27.25-C20)/(27.25-26.1)</f>
        <v>0.91304347826087129</v>
      </c>
      <c r="D22" s="1" t="s">
        <v>90</v>
      </c>
      <c r="E22" s="1">
        <v>0</v>
      </c>
      <c r="F22" s="1" t="s">
        <v>111</v>
      </c>
      <c r="G22" s="1">
        <f>(1011.8-1010.8)/(1011.8-1009.8)</f>
        <v>0.5</v>
      </c>
      <c r="H22" s="1" t="s">
        <v>135</v>
      </c>
      <c r="I22" s="1">
        <f>(6.175-I20)/(6.175-3.6)</f>
        <v>0.45631067961165045</v>
      </c>
    </row>
    <row r="23" spans="1:9">
      <c r="A23" s="1"/>
      <c r="B23" s="1" t="s">
        <v>83</v>
      </c>
      <c r="C23" s="1">
        <f>(C20-26.1)/(27.25-26.1)</f>
        <v>8.6956521739128684E-2</v>
      </c>
      <c r="D23" s="1" t="s">
        <v>91</v>
      </c>
      <c r="E23" s="1">
        <v>1</v>
      </c>
      <c r="F23" s="1" t="s">
        <v>112</v>
      </c>
      <c r="G23" s="1">
        <f>(G20-1009.8)/(1011.8-1009.8)</f>
        <v>0.5</v>
      </c>
      <c r="H23" s="1" t="s">
        <v>136</v>
      </c>
      <c r="I23" s="1">
        <f>(I20-3.6)/(6.175-3.6)</f>
        <v>0.5436893203883495</v>
      </c>
    </row>
    <row r="25" spans="1:9" s="38" customFormat="1">
      <c r="A25" s="55" t="s">
        <v>154</v>
      </c>
    </row>
    <row r="27" spans="1:9">
      <c r="A27" s="1" t="s">
        <v>155</v>
      </c>
      <c r="B27" s="2" t="s">
        <v>7</v>
      </c>
      <c r="C27" s="2" t="s">
        <v>10</v>
      </c>
      <c r="D27" s="2" t="s">
        <v>13</v>
      </c>
      <c r="E27" s="2" t="s">
        <v>16</v>
      </c>
      <c r="F27" s="2" t="s">
        <v>20</v>
      </c>
    </row>
    <row r="28" spans="1:9">
      <c r="B28" s="1">
        <v>0</v>
      </c>
      <c r="C28" s="1">
        <v>0</v>
      </c>
      <c r="D28" s="1">
        <v>0</v>
      </c>
      <c r="E28" s="1">
        <v>0</v>
      </c>
      <c r="F28" s="1">
        <v>0</v>
      </c>
    </row>
    <row r="29" spans="1:9">
      <c r="A29" s="1" t="s">
        <v>156</v>
      </c>
      <c r="B29" s="2" t="s">
        <v>7</v>
      </c>
      <c r="C29" s="2" t="s">
        <v>10</v>
      </c>
      <c r="D29" s="2" t="s">
        <v>13</v>
      </c>
      <c r="E29" s="2" t="s">
        <v>17</v>
      </c>
      <c r="F29" s="2" t="s">
        <v>20</v>
      </c>
    </row>
    <row r="30" spans="1:9">
      <c r="A30" s="1"/>
      <c r="B30" s="1">
        <v>0</v>
      </c>
      <c r="C30" s="1">
        <v>0</v>
      </c>
      <c r="D30" s="1">
        <v>0</v>
      </c>
      <c r="E30" s="1">
        <v>0.45631067961165045</v>
      </c>
      <c r="F30" s="1">
        <v>0</v>
      </c>
    </row>
    <row r="31" spans="1:9">
      <c r="A31" s="1" t="s">
        <v>157</v>
      </c>
      <c r="B31" s="2" t="s">
        <v>7</v>
      </c>
      <c r="C31" s="2" t="s">
        <v>11</v>
      </c>
      <c r="D31" s="2" t="s">
        <v>14</v>
      </c>
      <c r="E31" s="2" t="s">
        <v>16</v>
      </c>
      <c r="F31" s="2" t="s">
        <v>20</v>
      </c>
    </row>
    <row r="32" spans="1:9">
      <c r="B32" s="1">
        <v>0</v>
      </c>
      <c r="C32" s="1">
        <v>0</v>
      </c>
      <c r="D32" s="1">
        <v>0.5</v>
      </c>
      <c r="E32" s="1">
        <v>0</v>
      </c>
      <c r="F32" s="1">
        <v>0</v>
      </c>
    </row>
    <row r="33" spans="1:6">
      <c r="A33" s="1" t="s">
        <v>158</v>
      </c>
      <c r="B33" s="2" t="s">
        <v>7</v>
      </c>
      <c r="C33" s="2" t="s">
        <v>11</v>
      </c>
      <c r="D33" s="2" t="s">
        <v>14</v>
      </c>
      <c r="E33" s="2" t="s">
        <v>17</v>
      </c>
      <c r="F33" s="2" t="s">
        <v>21</v>
      </c>
    </row>
    <row r="34" spans="1:6">
      <c r="A34" s="1"/>
      <c r="B34" s="1">
        <v>0</v>
      </c>
      <c r="C34" s="1">
        <v>0</v>
      </c>
      <c r="D34" s="1">
        <v>0.5</v>
      </c>
      <c r="E34" s="1">
        <v>0.45631067961165045</v>
      </c>
      <c r="F34" s="1">
        <v>0</v>
      </c>
    </row>
    <row r="35" spans="1:6">
      <c r="A35" s="1" t="s">
        <v>159</v>
      </c>
      <c r="B35" s="2" t="s">
        <v>7</v>
      </c>
      <c r="C35" s="2" t="s">
        <v>12</v>
      </c>
      <c r="D35" s="2" t="s">
        <v>14</v>
      </c>
      <c r="E35" s="2" t="s">
        <v>16</v>
      </c>
      <c r="F35" s="2" t="s">
        <v>19</v>
      </c>
    </row>
    <row r="36" spans="1:6">
      <c r="A36" s="1"/>
      <c r="B36" s="1">
        <v>0</v>
      </c>
      <c r="C36" s="1">
        <v>1</v>
      </c>
      <c r="D36" s="1">
        <v>0.5</v>
      </c>
      <c r="E36" s="1">
        <v>0</v>
      </c>
      <c r="F36" s="1">
        <v>0</v>
      </c>
    </row>
    <row r="37" spans="1:6">
      <c r="A37" s="1" t="s">
        <v>160</v>
      </c>
      <c r="B37" s="2" t="s">
        <v>7</v>
      </c>
      <c r="C37" s="2" t="s">
        <v>12</v>
      </c>
      <c r="D37" s="2" t="s">
        <v>15</v>
      </c>
      <c r="E37" s="2" t="s">
        <v>16</v>
      </c>
      <c r="F37" s="2" t="s">
        <v>19</v>
      </c>
    </row>
    <row r="38" spans="1:6">
      <c r="A38" s="1"/>
      <c r="B38" s="1">
        <v>0</v>
      </c>
      <c r="C38" s="1">
        <v>1</v>
      </c>
      <c r="D38" s="1">
        <v>0.5</v>
      </c>
      <c r="E38" s="1">
        <v>0</v>
      </c>
      <c r="F38" s="1">
        <v>0</v>
      </c>
    </row>
    <row r="39" spans="1:6">
      <c r="A39" s="1" t="s">
        <v>161</v>
      </c>
      <c r="B39" s="2" t="s">
        <v>8</v>
      </c>
      <c r="C39" s="2" t="s">
        <v>10</v>
      </c>
      <c r="D39" s="2" t="s">
        <v>13</v>
      </c>
      <c r="E39" s="2" t="s">
        <v>16</v>
      </c>
      <c r="F39" s="2" t="s">
        <v>20</v>
      </c>
    </row>
    <row r="40" spans="1:6">
      <c r="A40" s="1"/>
      <c r="B40" s="37">
        <v>0.91304347826087129</v>
      </c>
      <c r="C40" s="1">
        <v>0</v>
      </c>
      <c r="D40" s="1">
        <v>0</v>
      </c>
      <c r="E40" s="1">
        <v>0</v>
      </c>
      <c r="F40" s="1">
        <v>0</v>
      </c>
    </row>
    <row r="41" spans="1:6">
      <c r="A41" s="1" t="s">
        <v>162</v>
      </c>
      <c r="B41" s="2" t="s">
        <v>8</v>
      </c>
      <c r="C41" s="2" t="s">
        <v>10</v>
      </c>
      <c r="D41" s="2" t="s">
        <v>14</v>
      </c>
      <c r="E41" s="2" t="s">
        <v>17</v>
      </c>
      <c r="F41" s="2" t="s">
        <v>21</v>
      </c>
    </row>
    <row r="42" spans="1:6">
      <c r="A42" s="1"/>
      <c r="B42" s="37">
        <v>0.91304347826087129</v>
      </c>
      <c r="C42" s="1">
        <v>0</v>
      </c>
      <c r="D42" s="1">
        <v>0.5</v>
      </c>
      <c r="E42" s="1">
        <v>0.45631067961165045</v>
      </c>
      <c r="F42" s="1">
        <v>0</v>
      </c>
    </row>
    <row r="43" spans="1:6">
      <c r="A43" s="1" t="s">
        <v>163</v>
      </c>
      <c r="B43" s="2" t="s">
        <v>8</v>
      </c>
      <c r="C43" s="2" t="s">
        <v>11</v>
      </c>
      <c r="D43" s="2" t="s">
        <v>13</v>
      </c>
      <c r="E43" s="2" t="s">
        <v>17</v>
      </c>
      <c r="F43" s="2" t="s">
        <v>19</v>
      </c>
    </row>
    <row r="44" spans="1:6">
      <c r="A44" s="1"/>
      <c r="B44" s="37">
        <v>0.91304347826087129</v>
      </c>
      <c r="C44" s="1">
        <v>0</v>
      </c>
      <c r="D44" s="1">
        <v>0</v>
      </c>
      <c r="E44" s="1">
        <v>0.45631067961165045</v>
      </c>
      <c r="F44" s="1">
        <v>0</v>
      </c>
    </row>
    <row r="45" spans="1:6">
      <c r="A45" s="1" t="s">
        <v>164</v>
      </c>
      <c r="B45" s="2" t="s">
        <v>8</v>
      </c>
      <c r="C45" s="2" t="s">
        <v>11</v>
      </c>
      <c r="D45" s="2" t="s">
        <v>14</v>
      </c>
      <c r="E45" s="2" t="s">
        <v>18</v>
      </c>
      <c r="F45" s="2" t="s">
        <v>21</v>
      </c>
    </row>
    <row r="46" spans="1:6">
      <c r="A46" s="1"/>
      <c r="B46" s="37">
        <v>0.91304347826087129</v>
      </c>
      <c r="C46" s="1">
        <v>0</v>
      </c>
      <c r="D46" s="1">
        <v>0.5</v>
      </c>
      <c r="E46" s="1">
        <v>0.5436893203883495</v>
      </c>
      <c r="F46" s="1">
        <v>0</v>
      </c>
    </row>
    <row r="47" spans="1:6">
      <c r="A47" s="1" t="s">
        <v>165</v>
      </c>
      <c r="B47" s="2" t="s">
        <v>8</v>
      </c>
      <c r="C47" s="2" t="s">
        <v>12</v>
      </c>
      <c r="D47" s="2" t="s">
        <v>13</v>
      </c>
      <c r="E47" s="2" t="s">
        <v>17</v>
      </c>
      <c r="F47" s="2" t="s">
        <v>21</v>
      </c>
    </row>
    <row r="48" spans="1:6">
      <c r="A48" s="1"/>
      <c r="B48" s="37">
        <v>0.91304347826087129</v>
      </c>
      <c r="C48" s="1">
        <v>1</v>
      </c>
      <c r="D48" s="1">
        <v>0</v>
      </c>
      <c r="E48" s="1">
        <v>0.45631067961165045</v>
      </c>
      <c r="F48" s="1">
        <v>0</v>
      </c>
    </row>
    <row r="49" spans="1:6">
      <c r="A49" s="1" t="s">
        <v>166</v>
      </c>
      <c r="B49" s="2" t="s">
        <v>8</v>
      </c>
      <c r="C49" s="2" t="s">
        <v>12</v>
      </c>
      <c r="D49" s="2" t="s">
        <v>15</v>
      </c>
      <c r="E49" s="2" t="s">
        <v>16</v>
      </c>
      <c r="F49" s="2" t="s">
        <v>22</v>
      </c>
    </row>
    <row r="50" spans="1:6">
      <c r="A50" s="1"/>
      <c r="B50" s="37">
        <v>0.91304347826087129</v>
      </c>
      <c r="C50" s="1">
        <v>1</v>
      </c>
      <c r="D50" s="1">
        <v>0.5</v>
      </c>
      <c r="E50" s="1">
        <v>0</v>
      </c>
      <c r="F50" s="1">
        <v>0</v>
      </c>
    </row>
    <row r="51" spans="1:6">
      <c r="A51" s="1" t="s">
        <v>167</v>
      </c>
      <c r="B51" s="2" t="s">
        <v>9</v>
      </c>
      <c r="C51" s="2" t="s">
        <v>10</v>
      </c>
      <c r="D51" s="2" t="s">
        <v>14</v>
      </c>
      <c r="E51" s="2" t="s">
        <v>16</v>
      </c>
      <c r="F51" s="2" t="s">
        <v>19</v>
      </c>
    </row>
    <row r="52" spans="1:6">
      <c r="B52" s="37">
        <v>8.6956521739128684E-2</v>
      </c>
      <c r="C52" s="1">
        <v>0</v>
      </c>
      <c r="D52" s="1">
        <v>0.5</v>
      </c>
      <c r="E52" s="1">
        <v>0</v>
      </c>
      <c r="F52" s="1">
        <v>0</v>
      </c>
    </row>
    <row r="53" spans="1:6">
      <c r="A53" s="1" t="s">
        <v>168</v>
      </c>
      <c r="B53" s="2" t="s">
        <v>9</v>
      </c>
      <c r="C53" s="2" t="s">
        <v>10</v>
      </c>
      <c r="D53" s="2" t="s">
        <v>15</v>
      </c>
      <c r="E53" s="2" t="s">
        <v>18</v>
      </c>
      <c r="F53" s="2" t="s">
        <v>22</v>
      </c>
    </row>
    <row r="54" spans="1:6">
      <c r="A54" s="1"/>
      <c r="B54" s="37">
        <v>8.6956521739128684E-2</v>
      </c>
      <c r="C54" s="1">
        <v>0</v>
      </c>
      <c r="D54" s="1">
        <v>0.5</v>
      </c>
      <c r="E54" s="1">
        <v>0.5436893203883495</v>
      </c>
      <c r="F54" s="1">
        <v>0</v>
      </c>
    </row>
    <row r="55" spans="1:6">
      <c r="A55" s="1" t="s">
        <v>169</v>
      </c>
      <c r="B55" s="2" t="s">
        <v>9</v>
      </c>
      <c r="C55" s="2" t="s">
        <v>11</v>
      </c>
      <c r="D55" s="2" t="s">
        <v>13</v>
      </c>
      <c r="E55" s="2" t="s">
        <v>18</v>
      </c>
      <c r="F55" s="2" t="s">
        <v>22</v>
      </c>
    </row>
    <row r="56" spans="1:6">
      <c r="A56" s="1"/>
      <c r="B56" s="37">
        <v>8.6956521739128684E-2</v>
      </c>
      <c r="C56" s="1">
        <v>0</v>
      </c>
      <c r="D56" s="1">
        <v>0</v>
      </c>
      <c r="E56" s="1">
        <v>0.5436893203883495</v>
      </c>
      <c r="F56" s="1">
        <v>0</v>
      </c>
    </row>
    <row r="57" spans="1:6">
      <c r="A57" s="1" t="s">
        <v>170</v>
      </c>
      <c r="B57" s="2" t="s">
        <v>9</v>
      </c>
      <c r="C57" s="2" t="s">
        <v>11</v>
      </c>
      <c r="D57" s="2" t="s">
        <v>15</v>
      </c>
      <c r="E57" s="2" t="s">
        <v>16</v>
      </c>
      <c r="F57" s="2" t="s">
        <v>22</v>
      </c>
    </row>
    <row r="58" spans="1:6">
      <c r="B58" s="37">
        <v>8.6956521739128684E-2</v>
      </c>
      <c r="C58" s="1">
        <v>0</v>
      </c>
      <c r="D58" s="1">
        <v>0.5</v>
      </c>
      <c r="E58" s="1">
        <v>0</v>
      </c>
      <c r="F58" s="1">
        <v>0</v>
      </c>
    </row>
    <row r="59" spans="1:6">
      <c r="A59" s="1" t="s">
        <v>171</v>
      </c>
      <c r="B59" s="2" t="s">
        <v>9</v>
      </c>
      <c r="C59" s="2" t="s">
        <v>12</v>
      </c>
      <c r="D59" s="2" t="s">
        <v>14</v>
      </c>
      <c r="E59" s="2" t="s">
        <v>17</v>
      </c>
      <c r="F59" s="2" t="s">
        <v>22</v>
      </c>
    </row>
    <row r="60" spans="1:6">
      <c r="A60" s="1"/>
      <c r="B60" s="37">
        <v>8.6956521739128684E-2</v>
      </c>
      <c r="C60" s="1">
        <v>1</v>
      </c>
      <c r="D60" s="1">
        <v>0.5</v>
      </c>
      <c r="E60" s="1">
        <v>0.45631067961165045</v>
      </c>
      <c r="F60" s="1">
        <v>0.09</v>
      </c>
    </row>
    <row r="61" spans="1:6">
      <c r="A61" s="1" t="s">
        <v>172</v>
      </c>
      <c r="B61" s="2" t="s">
        <v>9</v>
      </c>
      <c r="C61" s="2" t="s">
        <v>12</v>
      </c>
      <c r="D61" s="2" t="s">
        <v>15</v>
      </c>
      <c r="E61" s="2" t="s">
        <v>18</v>
      </c>
      <c r="F61" s="2" t="s">
        <v>22</v>
      </c>
    </row>
    <row r="62" spans="1:6">
      <c r="B62" s="37">
        <v>8.6956521739128684E-2</v>
      </c>
      <c r="C62" s="1">
        <v>1</v>
      </c>
      <c r="D62" s="1">
        <v>0.5</v>
      </c>
      <c r="E62" s="1">
        <v>0.5436893203883495</v>
      </c>
      <c r="F62" s="1">
        <v>0.09</v>
      </c>
    </row>
    <row r="64" spans="1:6" s="39" customFormat="1">
      <c r="A64" s="55" t="s">
        <v>173</v>
      </c>
    </row>
    <row r="65" spans="1:10" s="1" customFormat="1"/>
    <row r="66" spans="1:10" s="1" customFormat="1">
      <c r="A66" s="1" t="s">
        <v>312</v>
      </c>
      <c r="B66" s="1">
        <v>0.09</v>
      </c>
    </row>
    <row r="67" spans="1:10" s="1" customFormat="1"/>
    <row r="68" spans="1:10" s="1" customFormat="1"/>
    <row r="70" spans="1:10">
      <c r="A70" s="2" t="s">
        <v>30</v>
      </c>
      <c r="B70" s="54" t="s">
        <v>175</v>
      </c>
      <c r="C70" s="2" t="s">
        <v>176</v>
      </c>
      <c r="D70" s="2" t="s">
        <v>177</v>
      </c>
      <c r="E70" s="2" t="s">
        <v>178</v>
      </c>
      <c r="F70" s="41" t="s">
        <v>206</v>
      </c>
      <c r="G70" s="41" t="s">
        <v>207</v>
      </c>
      <c r="H70" s="41" t="s">
        <v>208</v>
      </c>
      <c r="I70" s="41" t="s">
        <v>209</v>
      </c>
      <c r="J70" s="42" t="s">
        <v>210</v>
      </c>
    </row>
    <row r="71" spans="1:10">
      <c r="A71" s="2">
        <v>0</v>
      </c>
      <c r="B71" s="54">
        <v>1</v>
      </c>
      <c r="C71" s="2">
        <v>0</v>
      </c>
      <c r="D71" s="2">
        <v>0</v>
      </c>
      <c r="E71" s="2">
        <v>0</v>
      </c>
      <c r="F71" s="2">
        <v>0.09</v>
      </c>
      <c r="G71" s="2">
        <v>0</v>
      </c>
      <c r="H71" s="2">
        <v>0</v>
      </c>
      <c r="I71" s="2">
        <v>0</v>
      </c>
      <c r="J71" s="2">
        <v>0.09</v>
      </c>
    </row>
    <row r="72" spans="1:10">
      <c r="A72" s="2">
        <v>1</v>
      </c>
      <c r="B72" s="54">
        <v>1</v>
      </c>
      <c r="C72" s="2">
        <v>0</v>
      </c>
      <c r="D72" s="2">
        <v>0</v>
      </c>
      <c r="E72" s="2">
        <v>0</v>
      </c>
      <c r="F72" s="2">
        <v>0.09</v>
      </c>
      <c r="G72" s="2">
        <v>0</v>
      </c>
      <c r="H72" s="2">
        <v>0</v>
      </c>
      <c r="I72" s="2">
        <v>0</v>
      </c>
      <c r="J72" s="2">
        <v>0.09</v>
      </c>
    </row>
    <row r="73" spans="1:10">
      <c r="A73" s="2">
        <v>2</v>
      </c>
      <c r="B73" s="54">
        <v>1</v>
      </c>
      <c r="C73" s="2">
        <v>0</v>
      </c>
      <c r="D73" s="2">
        <v>0</v>
      </c>
      <c r="E73" s="2">
        <v>0</v>
      </c>
      <c r="F73" s="2">
        <v>0.09</v>
      </c>
      <c r="G73" s="2">
        <v>0</v>
      </c>
      <c r="H73" s="2">
        <v>0</v>
      </c>
      <c r="I73" s="2">
        <v>0</v>
      </c>
      <c r="J73" s="2">
        <v>0.09</v>
      </c>
    </row>
    <row r="74" spans="1:10">
      <c r="A74" s="2">
        <v>3</v>
      </c>
      <c r="B74" s="54">
        <v>0.5</v>
      </c>
      <c r="C74" s="2">
        <v>0.16666666666666666</v>
      </c>
      <c r="D74" s="2">
        <v>0</v>
      </c>
      <c r="E74" s="2">
        <v>0</v>
      </c>
      <c r="F74" s="2">
        <v>0.09</v>
      </c>
      <c r="G74" s="2">
        <v>0</v>
      </c>
      <c r="H74" s="2">
        <v>0</v>
      </c>
      <c r="I74" s="2">
        <v>0</v>
      </c>
      <c r="J74" s="2">
        <v>0.09</v>
      </c>
    </row>
    <row r="75" spans="1:10">
      <c r="A75" s="2">
        <v>4</v>
      </c>
      <c r="B75" s="54">
        <v>0</v>
      </c>
      <c r="C75" s="2">
        <v>0.33333333333333331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</row>
    <row r="76" spans="1:10">
      <c r="A76" s="2">
        <v>5</v>
      </c>
      <c r="B76" s="54">
        <v>0</v>
      </c>
      <c r="C76" s="2">
        <v>0.5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</row>
    <row r="77" spans="1:10">
      <c r="A77" s="2">
        <v>6</v>
      </c>
      <c r="B77" s="54">
        <v>0</v>
      </c>
      <c r="C77" s="2">
        <v>0.66666666666666663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</row>
    <row r="78" spans="1:10">
      <c r="A78" s="2">
        <v>7</v>
      </c>
      <c r="B78" s="54">
        <v>0</v>
      </c>
      <c r="C78" s="2">
        <v>0.83333333333333337</v>
      </c>
      <c r="D78" s="2">
        <v>0.125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>
      <c r="A79" s="2">
        <v>8</v>
      </c>
      <c r="B79" s="54">
        <v>0</v>
      </c>
      <c r="C79" s="2">
        <v>1</v>
      </c>
      <c r="D79" s="2">
        <v>0.25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>
      <c r="A80" s="2">
        <v>9</v>
      </c>
      <c r="B80" s="54">
        <v>0</v>
      </c>
      <c r="C80" s="2">
        <v>0.83333333333333337</v>
      </c>
      <c r="D80" s="2">
        <v>0.375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>
      <c r="A81" s="2">
        <v>10</v>
      </c>
      <c r="B81" s="54">
        <v>0</v>
      </c>
      <c r="C81" s="2">
        <v>0.66666666666666663</v>
      </c>
      <c r="D81" s="2">
        <v>0.5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</row>
    <row r="82" spans="1:10">
      <c r="A82" s="2">
        <v>11</v>
      </c>
      <c r="B82" s="54">
        <v>0</v>
      </c>
      <c r="C82" s="2">
        <v>0.5</v>
      </c>
      <c r="D82" s="2">
        <v>0.625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</row>
    <row r="83" spans="1:10">
      <c r="A83" s="2">
        <v>12</v>
      </c>
      <c r="B83" s="54">
        <v>0</v>
      </c>
      <c r="C83" s="2">
        <v>0.33333333333333331</v>
      </c>
      <c r="D83" s="2">
        <v>0.75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</row>
    <row r="84" spans="1:10">
      <c r="A84" s="2">
        <v>13</v>
      </c>
      <c r="B84" s="54">
        <v>0</v>
      </c>
      <c r="C84" s="2">
        <v>0.16666666666666666</v>
      </c>
      <c r="D84" s="2">
        <v>0.875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</row>
    <row r="85" spans="1:10">
      <c r="A85" s="2">
        <v>14</v>
      </c>
      <c r="B85" s="54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</row>
    <row r="86" spans="1:10">
      <c r="A86" s="2">
        <v>15</v>
      </c>
      <c r="B86" s="54">
        <v>0</v>
      </c>
      <c r="C86" s="2">
        <v>0</v>
      </c>
      <c r="D86" s="2">
        <v>0.875</v>
      </c>
      <c r="E86" s="2">
        <v>0.125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</row>
    <row r="87" spans="1:10">
      <c r="A87" s="2">
        <v>16</v>
      </c>
      <c r="B87" s="54">
        <v>0</v>
      </c>
      <c r="C87" s="2">
        <v>0</v>
      </c>
      <c r="D87" s="2">
        <v>0.75</v>
      </c>
      <c r="E87" s="2">
        <v>0.25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</row>
    <row r="88" spans="1:10">
      <c r="A88" s="2">
        <v>17</v>
      </c>
      <c r="B88" s="54">
        <v>0</v>
      </c>
      <c r="C88" s="2">
        <v>0</v>
      </c>
      <c r="D88" s="2">
        <v>0.625</v>
      </c>
      <c r="E88" s="2">
        <v>0.375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</row>
    <row r="89" spans="1:10">
      <c r="A89" s="2">
        <v>18</v>
      </c>
      <c r="B89" s="54">
        <v>0</v>
      </c>
      <c r="C89" s="2">
        <v>0</v>
      </c>
      <c r="D89" s="2">
        <v>0.5</v>
      </c>
      <c r="E89" s="2">
        <v>0.5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 spans="1:10">
      <c r="A90" s="2">
        <v>19</v>
      </c>
      <c r="B90" s="54">
        <v>0</v>
      </c>
      <c r="C90" s="2">
        <v>0</v>
      </c>
      <c r="D90" s="2">
        <v>0.375</v>
      </c>
      <c r="E90" s="2">
        <v>0.625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 spans="1:10">
      <c r="A91" s="2">
        <v>20</v>
      </c>
      <c r="B91" s="54">
        <v>0</v>
      </c>
      <c r="C91" s="2">
        <v>0</v>
      </c>
      <c r="D91" s="2">
        <v>0.25</v>
      </c>
      <c r="E91" s="2">
        <v>0.75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>
      <c r="A92" s="2">
        <v>21</v>
      </c>
      <c r="B92" s="54">
        <v>0</v>
      </c>
      <c r="C92" s="2">
        <v>0</v>
      </c>
      <c r="D92" s="2">
        <v>0.125</v>
      </c>
      <c r="E92" s="2">
        <v>0.875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>
      <c r="A93" s="2">
        <v>22</v>
      </c>
      <c r="B93" s="54">
        <v>0</v>
      </c>
      <c r="C93" s="2">
        <v>0</v>
      </c>
      <c r="D93" s="2">
        <v>0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>
      <c r="A94" s="2">
        <v>23</v>
      </c>
      <c r="B94" s="54">
        <v>0</v>
      </c>
      <c r="C94" s="2">
        <v>0</v>
      </c>
      <c r="D94" s="2">
        <v>0</v>
      </c>
      <c r="E94" s="2">
        <v>1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</row>
    <row r="95" spans="1:10">
      <c r="A95" s="2">
        <v>24</v>
      </c>
      <c r="B95" s="54">
        <v>0</v>
      </c>
      <c r="C95" s="2">
        <v>0</v>
      </c>
      <c r="D95" s="2">
        <v>0</v>
      </c>
      <c r="E95" s="2">
        <v>1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</row>
    <row r="96" spans="1:10">
      <c r="A96" s="2">
        <v>25</v>
      </c>
      <c r="B96" s="54">
        <v>0</v>
      </c>
      <c r="C96" s="2">
        <v>0</v>
      </c>
      <c r="D96" s="2">
        <v>0</v>
      </c>
      <c r="E96" s="2">
        <v>1</v>
      </c>
      <c r="F96" s="2">
        <v>0</v>
      </c>
      <c r="G96" s="2">
        <v>0</v>
      </c>
      <c r="H96" s="2">
        <v>0</v>
      </c>
      <c r="I96" s="60">
        <v>0</v>
      </c>
      <c r="J96" s="2">
        <v>0</v>
      </c>
    </row>
    <row r="97" spans="1:10">
      <c r="I97" s="61"/>
      <c r="J97" s="61"/>
    </row>
    <row r="99" spans="1:10" s="38" customFormat="1">
      <c r="A99" s="38" t="s">
        <v>260</v>
      </c>
    </row>
    <row r="101" spans="1:10">
      <c r="A101" s="1" t="s">
        <v>211</v>
      </c>
      <c r="B101" s="1">
        <f>(((0+1+2+3)*0.09))/((4*0.09))</f>
        <v>1.5000000000000002</v>
      </c>
    </row>
    <row r="102" spans="1:10">
      <c r="B102" s="1" t="s">
        <v>175</v>
      </c>
    </row>
    <row r="105" spans="1:10" s="49" customFormat="1">
      <c r="A105" s="49" t="s">
        <v>151</v>
      </c>
    </row>
    <row r="107" spans="1:10">
      <c r="A107" s="1" t="s">
        <v>308</v>
      </c>
      <c r="B107" s="1"/>
      <c r="C107" s="2">
        <v>26.7</v>
      </c>
      <c r="D107" s="1"/>
      <c r="E107" s="2">
        <v>82</v>
      </c>
      <c r="F107" s="1"/>
      <c r="G107" s="2">
        <v>1011.2</v>
      </c>
      <c r="H107" s="1"/>
      <c r="I107" s="2">
        <v>5</v>
      </c>
    </row>
    <row r="108" spans="1:10">
      <c r="B108" s="1" t="s">
        <v>72</v>
      </c>
      <c r="C108" s="1">
        <v>0</v>
      </c>
      <c r="D108" s="1" t="s">
        <v>89</v>
      </c>
      <c r="E108" s="1">
        <v>0</v>
      </c>
      <c r="F108" s="1" t="s">
        <v>110</v>
      </c>
      <c r="G108" s="1">
        <v>0</v>
      </c>
      <c r="H108" s="1" t="s">
        <v>134</v>
      </c>
      <c r="I108" s="1">
        <v>0</v>
      </c>
    </row>
    <row r="109" spans="1:10">
      <c r="B109" s="1" t="s">
        <v>77</v>
      </c>
      <c r="C109" s="1">
        <f>(27.25-C107)/(27.25-26.1)</f>
        <v>0.47826086956521863</v>
      </c>
      <c r="D109" s="1" t="s">
        <v>90</v>
      </c>
      <c r="E109" s="1">
        <v>0</v>
      </c>
      <c r="F109" s="1" t="s">
        <v>111</v>
      </c>
      <c r="G109" s="58">
        <f>(1011.8-G107)/(1011.8-1009.8)</f>
        <v>0.29999999999995453</v>
      </c>
      <c r="H109" s="1" t="s">
        <v>135</v>
      </c>
      <c r="I109" s="1">
        <f>(6.175-I107)/(6.175-3.6)</f>
        <v>0.45631067961165045</v>
      </c>
    </row>
    <row r="110" spans="1:10">
      <c r="B110" s="1" t="s">
        <v>83</v>
      </c>
      <c r="C110" s="1">
        <f>(C107-26.1)/(27.25-26.1)</f>
        <v>0.52173913043478137</v>
      </c>
      <c r="D110" s="1" t="s">
        <v>91</v>
      </c>
      <c r="E110" s="1">
        <v>1</v>
      </c>
      <c r="F110" s="1" t="s">
        <v>112</v>
      </c>
      <c r="G110" s="1">
        <f>(G107-1009.8)/(1011.8-1009.8)</f>
        <v>0.70000000000004547</v>
      </c>
      <c r="H110" s="1" t="s">
        <v>136</v>
      </c>
      <c r="I110" s="1">
        <f>(I107-3.6)/(6.175-3.6)</f>
        <v>0.5436893203883495</v>
      </c>
    </row>
    <row r="113" spans="1:6" s="49" customFormat="1">
      <c r="A113" s="56" t="s">
        <v>154</v>
      </c>
    </row>
    <row r="115" spans="1:6">
      <c r="A115" s="1" t="s">
        <v>155</v>
      </c>
      <c r="B115" s="2" t="s">
        <v>7</v>
      </c>
      <c r="C115" s="2" t="s">
        <v>10</v>
      </c>
      <c r="D115" s="2" t="s">
        <v>13</v>
      </c>
      <c r="E115" s="2" t="s">
        <v>16</v>
      </c>
      <c r="F115" s="2" t="s">
        <v>20</v>
      </c>
    </row>
    <row r="116" spans="1:6">
      <c r="B116" s="1">
        <v>0</v>
      </c>
      <c r="C116" s="1">
        <v>0</v>
      </c>
      <c r="D116" s="1">
        <v>0</v>
      </c>
      <c r="E116" s="1">
        <v>0</v>
      </c>
      <c r="F116" s="1">
        <v>0</v>
      </c>
    </row>
    <row r="117" spans="1:6">
      <c r="A117" s="1" t="s">
        <v>156</v>
      </c>
      <c r="B117" s="2" t="s">
        <v>7</v>
      </c>
      <c r="C117" s="2" t="s">
        <v>10</v>
      </c>
      <c r="D117" s="2" t="s">
        <v>13</v>
      </c>
      <c r="E117" s="2" t="s">
        <v>17</v>
      </c>
      <c r="F117" s="2" t="s">
        <v>20</v>
      </c>
    </row>
    <row r="118" spans="1:6">
      <c r="A118" s="1"/>
      <c r="B118" s="1">
        <v>0</v>
      </c>
      <c r="C118" s="1">
        <v>0</v>
      </c>
      <c r="D118" s="1">
        <v>0</v>
      </c>
      <c r="E118" s="37">
        <v>0.45631067961165045</v>
      </c>
      <c r="F118" s="1">
        <v>0</v>
      </c>
    </row>
    <row r="119" spans="1:6">
      <c r="A119" s="1" t="s">
        <v>157</v>
      </c>
      <c r="B119" s="2" t="s">
        <v>7</v>
      </c>
      <c r="C119" s="2" t="s">
        <v>11</v>
      </c>
      <c r="D119" s="2" t="s">
        <v>14</v>
      </c>
      <c r="E119" s="2" t="s">
        <v>16</v>
      </c>
      <c r="F119" s="2" t="s">
        <v>20</v>
      </c>
    </row>
    <row r="120" spans="1:6">
      <c r="B120" s="1">
        <v>0</v>
      </c>
      <c r="C120" s="1">
        <v>0</v>
      </c>
      <c r="D120" s="1">
        <v>0.3</v>
      </c>
      <c r="E120" s="1">
        <v>0</v>
      </c>
      <c r="F120" s="1">
        <v>0</v>
      </c>
    </row>
    <row r="121" spans="1:6">
      <c r="A121" s="1" t="s">
        <v>158</v>
      </c>
      <c r="B121" s="2" t="s">
        <v>7</v>
      </c>
      <c r="C121" s="2" t="s">
        <v>11</v>
      </c>
      <c r="D121" s="2" t="s">
        <v>14</v>
      </c>
      <c r="E121" s="2" t="s">
        <v>17</v>
      </c>
      <c r="F121" s="2" t="s">
        <v>21</v>
      </c>
    </row>
    <row r="122" spans="1:6">
      <c r="A122" s="1"/>
      <c r="B122" s="1">
        <v>0</v>
      </c>
      <c r="C122" s="1">
        <v>0</v>
      </c>
      <c r="D122" s="1">
        <v>0.3</v>
      </c>
      <c r="E122" s="37">
        <v>0.45631067961165045</v>
      </c>
      <c r="F122" s="1">
        <v>0</v>
      </c>
    </row>
    <row r="123" spans="1:6">
      <c r="A123" s="1" t="s">
        <v>159</v>
      </c>
      <c r="B123" s="2" t="s">
        <v>7</v>
      </c>
      <c r="C123" s="2" t="s">
        <v>12</v>
      </c>
      <c r="D123" s="2" t="s">
        <v>14</v>
      </c>
      <c r="E123" s="2" t="s">
        <v>16</v>
      </c>
      <c r="F123" s="2" t="s">
        <v>19</v>
      </c>
    </row>
    <row r="124" spans="1:6">
      <c r="A124" s="1"/>
      <c r="B124" s="1">
        <v>0</v>
      </c>
      <c r="C124" s="1">
        <v>1</v>
      </c>
      <c r="D124" s="1">
        <v>0.3</v>
      </c>
      <c r="E124" s="1">
        <v>0</v>
      </c>
      <c r="F124" s="1">
        <v>0</v>
      </c>
    </row>
    <row r="125" spans="1:6">
      <c r="A125" s="1" t="s">
        <v>160</v>
      </c>
      <c r="B125" s="2" t="s">
        <v>7</v>
      </c>
      <c r="C125" s="2" t="s">
        <v>12</v>
      </c>
      <c r="D125" s="2" t="s">
        <v>15</v>
      </c>
      <c r="E125" s="2" t="s">
        <v>16</v>
      </c>
      <c r="F125" s="2" t="s">
        <v>19</v>
      </c>
    </row>
    <row r="126" spans="1:6">
      <c r="A126" s="1"/>
      <c r="B126" s="1">
        <v>0</v>
      </c>
      <c r="C126" s="1">
        <v>0</v>
      </c>
      <c r="D126" s="1">
        <v>0.7</v>
      </c>
      <c r="E126" s="1">
        <v>0</v>
      </c>
      <c r="F126" s="1">
        <v>0</v>
      </c>
    </row>
    <row r="127" spans="1:6">
      <c r="A127" s="1" t="s">
        <v>161</v>
      </c>
      <c r="B127" s="2" t="s">
        <v>8</v>
      </c>
      <c r="C127" s="2" t="s">
        <v>10</v>
      </c>
      <c r="D127" s="2" t="s">
        <v>13</v>
      </c>
      <c r="E127" s="2" t="s">
        <v>16</v>
      </c>
      <c r="F127" s="2" t="s">
        <v>20</v>
      </c>
    </row>
    <row r="128" spans="1:6">
      <c r="A128" s="1"/>
      <c r="B128" s="37">
        <v>0.47826086956521863</v>
      </c>
      <c r="C128" s="1">
        <v>0</v>
      </c>
      <c r="D128" s="1">
        <v>0</v>
      </c>
      <c r="E128" s="1">
        <v>0</v>
      </c>
      <c r="F128" s="1">
        <v>0</v>
      </c>
    </row>
    <row r="129" spans="1:6">
      <c r="A129" s="1" t="s">
        <v>162</v>
      </c>
      <c r="B129" s="2" t="s">
        <v>8</v>
      </c>
      <c r="C129" s="2" t="s">
        <v>10</v>
      </c>
      <c r="D129" s="2" t="s">
        <v>14</v>
      </c>
      <c r="E129" s="2" t="s">
        <v>17</v>
      </c>
      <c r="F129" s="2" t="s">
        <v>21</v>
      </c>
    </row>
    <row r="130" spans="1:6">
      <c r="A130" s="1"/>
      <c r="B130" s="37">
        <v>0.47826086956521863</v>
      </c>
      <c r="C130" s="1">
        <v>0</v>
      </c>
      <c r="D130" s="1">
        <v>0.3</v>
      </c>
      <c r="E130" s="37">
        <v>0.45631067961165045</v>
      </c>
      <c r="F130" s="1">
        <v>0</v>
      </c>
    </row>
    <row r="131" spans="1:6">
      <c r="A131" s="1" t="s">
        <v>163</v>
      </c>
      <c r="B131" s="2" t="s">
        <v>8</v>
      </c>
      <c r="C131" s="2" t="s">
        <v>11</v>
      </c>
      <c r="D131" s="2" t="s">
        <v>13</v>
      </c>
      <c r="E131" s="2" t="s">
        <v>17</v>
      </c>
      <c r="F131" s="2" t="s">
        <v>19</v>
      </c>
    </row>
    <row r="132" spans="1:6">
      <c r="A132" s="1"/>
      <c r="B132" s="37">
        <v>0.47826086956521863</v>
      </c>
      <c r="C132" s="1">
        <v>0</v>
      </c>
      <c r="D132" s="1">
        <v>0</v>
      </c>
      <c r="E132" s="37">
        <v>0.45631067961165045</v>
      </c>
      <c r="F132" s="1">
        <v>0</v>
      </c>
    </row>
    <row r="133" spans="1:6">
      <c r="A133" s="1" t="s">
        <v>164</v>
      </c>
      <c r="B133" s="2" t="s">
        <v>8</v>
      </c>
      <c r="C133" s="2" t="s">
        <v>11</v>
      </c>
      <c r="D133" s="2" t="s">
        <v>14</v>
      </c>
      <c r="E133" s="2" t="s">
        <v>18</v>
      </c>
      <c r="F133" s="2" t="s">
        <v>21</v>
      </c>
    </row>
    <row r="134" spans="1:6">
      <c r="A134" s="1"/>
      <c r="B134" s="37">
        <v>0.47826086956521863</v>
      </c>
      <c r="C134" s="1">
        <v>0</v>
      </c>
      <c r="D134" s="1">
        <v>0.3</v>
      </c>
      <c r="E134" s="37">
        <v>0.5436893203883495</v>
      </c>
      <c r="F134" s="1">
        <v>0</v>
      </c>
    </row>
    <row r="135" spans="1:6">
      <c r="A135" s="1" t="s">
        <v>165</v>
      </c>
      <c r="B135" s="2" t="s">
        <v>8</v>
      </c>
      <c r="C135" s="2" t="s">
        <v>12</v>
      </c>
      <c r="D135" s="2" t="s">
        <v>13</v>
      </c>
      <c r="E135" s="2" t="s">
        <v>17</v>
      </c>
      <c r="F135" s="2" t="s">
        <v>21</v>
      </c>
    </row>
    <row r="136" spans="1:6">
      <c r="A136" s="1"/>
      <c r="B136" s="37">
        <v>0.47826086956521863</v>
      </c>
      <c r="C136" s="1">
        <v>1</v>
      </c>
      <c r="D136" s="1">
        <v>0</v>
      </c>
      <c r="E136" s="37">
        <v>0.45631067961165045</v>
      </c>
      <c r="F136" s="1">
        <v>0</v>
      </c>
    </row>
    <row r="137" spans="1:6">
      <c r="A137" s="1" t="s">
        <v>166</v>
      </c>
      <c r="B137" s="2" t="s">
        <v>8</v>
      </c>
      <c r="C137" s="2" t="s">
        <v>12</v>
      </c>
      <c r="D137" s="2" t="s">
        <v>15</v>
      </c>
      <c r="E137" s="2" t="s">
        <v>16</v>
      </c>
      <c r="F137" s="2" t="s">
        <v>22</v>
      </c>
    </row>
    <row r="138" spans="1:6">
      <c r="A138" s="1"/>
      <c r="B138" s="37">
        <v>0.47826086956521863</v>
      </c>
      <c r="C138" s="1">
        <v>1</v>
      </c>
      <c r="D138" s="1">
        <v>0.7</v>
      </c>
      <c r="E138" s="1">
        <v>0</v>
      </c>
      <c r="F138" s="1">
        <v>0</v>
      </c>
    </row>
    <row r="139" spans="1:6">
      <c r="A139" s="1" t="s">
        <v>167</v>
      </c>
      <c r="B139" s="2" t="s">
        <v>9</v>
      </c>
      <c r="C139" s="2" t="s">
        <v>10</v>
      </c>
      <c r="D139" s="2" t="s">
        <v>14</v>
      </c>
      <c r="E139" s="2" t="s">
        <v>16</v>
      </c>
      <c r="F139" s="2" t="s">
        <v>19</v>
      </c>
    </row>
    <row r="140" spans="1:6">
      <c r="B140" s="37">
        <v>0.52173913043478137</v>
      </c>
      <c r="C140" s="1">
        <v>0</v>
      </c>
      <c r="D140" s="1">
        <v>0.3</v>
      </c>
      <c r="E140" s="1">
        <v>0</v>
      </c>
      <c r="F140" s="1">
        <v>0</v>
      </c>
    </row>
    <row r="141" spans="1:6">
      <c r="A141" s="1" t="s">
        <v>168</v>
      </c>
      <c r="B141" s="2" t="s">
        <v>9</v>
      </c>
      <c r="C141" s="2" t="s">
        <v>10</v>
      </c>
      <c r="D141" s="2" t="s">
        <v>15</v>
      </c>
      <c r="E141" s="2" t="s">
        <v>18</v>
      </c>
      <c r="F141" s="2" t="s">
        <v>22</v>
      </c>
    </row>
    <row r="142" spans="1:6">
      <c r="A142" s="1"/>
      <c r="B142" s="37">
        <v>0.52173913043478137</v>
      </c>
      <c r="C142" s="1">
        <v>0</v>
      </c>
      <c r="D142" s="1">
        <v>0.7</v>
      </c>
      <c r="E142" s="37">
        <v>0.5436893203883495</v>
      </c>
      <c r="F142" s="1">
        <v>0</v>
      </c>
    </row>
    <row r="143" spans="1:6">
      <c r="A143" s="1" t="s">
        <v>169</v>
      </c>
      <c r="B143" s="2" t="s">
        <v>9</v>
      </c>
      <c r="C143" s="2" t="s">
        <v>11</v>
      </c>
      <c r="D143" s="2" t="s">
        <v>13</v>
      </c>
      <c r="E143" s="2" t="s">
        <v>18</v>
      </c>
      <c r="F143" s="2" t="s">
        <v>22</v>
      </c>
    </row>
    <row r="144" spans="1:6">
      <c r="A144" s="1"/>
      <c r="B144" s="37">
        <v>0.52173913043478137</v>
      </c>
      <c r="C144" s="1">
        <v>0</v>
      </c>
      <c r="D144" s="1">
        <v>0</v>
      </c>
      <c r="E144" s="37">
        <v>0.5436893203883495</v>
      </c>
      <c r="F144" s="1">
        <v>0</v>
      </c>
    </row>
    <row r="145" spans="1:10">
      <c r="A145" s="1" t="s">
        <v>170</v>
      </c>
      <c r="B145" s="2" t="s">
        <v>9</v>
      </c>
      <c r="C145" s="2" t="s">
        <v>11</v>
      </c>
      <c r="D145" s="2" t="s">
        <v>15</v>
      </c>
      <c r="E145" s="2" t="s">
        <v>16</v>
      </c>
      <c r="F145" s="2" t="s">
        <v>22</v>
      </c>
    </row>
    <row r="146" spans="1:10">
      <c r="B146" s="37">
        <v>0.52173913043478137</v>
      </c>
      <c r="C146" s="1">
        <v>0</v>
      </c>
      <c r="D146" s="1">
        <v>0.7</v>
      </c>
      <c r="E146" s="1">
        <v>0</v>
      </c>
      <c r="F146" s="1">
        <v>0</v>
      </c>
    </row>
    <row r="147" spans="1:10">
      <c r="A147" s="1" t="s">
        <v>171</v>
      </c>
      <c r="B147" s="2" t="s">
        <v>9</v>
      </c>
      <c r="C147" s="2" t="s">
        <v>12</v>
      </c>
      <c r="D147" s="2" t="s">
        <v>14</v>
      </c>
      <c r="E147" s="2" t="s">
        <v>17</v>
      </c>
      <c r="F147" s="2" t="s">
        <v>22</v>
      </c>
    </row>
    <row r="148" spans="1:10">
      <c r="A148" s="1"/>
      <c r="B148" s="37">
        <v>0.52173913043478137</v>
      </c>
      <c r="C148" s="1">
        <v>1</v>
      </c>
      <c r="D148" s="1">
        <v>0.3</v>
      </c>
      <c r="E148" s="37">
        <v>0.45631067961165045</v>
      </c>
      <c r="F148" s="48">
        <v>0.3</v>
      </c>
    </row>
    <row r="149" spans="1:10">
      <c r="A149" s="1" t="s">
        <v>172</v>
      </c>
      <c r="B149" s="2" t="s">
        <v>9</v>
      </c>
      <c r="C149" s="2" t="s">
        <v>12</v>
      </c>
      <c r="D149" s="2" t="s">
        <v>15</v>
      </c>
      <c r="E149" s="2" t="s">
        <v>18</v>
      </c>
      <c r="F149" s="2" t="s">
        <v>22</v>
      </c>
    </row>
    <row r="150" spans="1:10">
      <c r="B150" s="37">
        <v>0.52173913043478137</v>
      </c>
      <c r="C150" s="1">
        <v>1</v>
      </c>
      <c r="D150" s="1">
        <v>0.7</v>
      </c>
      <c r="E150" s="37">
        <v>0.5436893203883495</v>
      </c>
      <c r="F150" s="48">
        <v>0.52</v>
      </c>
    </row>
    <row r="153" spans="1:10" s="50" customFormat="1">
      <c r="A153" s="56" t="s">
        <v>173</v>
      </c>
    </row>
    <row r="154" spans="1:10" s="1" customFormat="1"/>
    <row r="155" spans="1:10" s="1" customFormat="1">
      <c r="A155" s="1" t="s">
        <v>312</v>
      </c>
      <c r="B155" s="1">
        <v>0.52</v>
      </c>
    </row>
    <row r="156" spans="1:10" s="1" customFormat="1"/>
    <row r="157" spans="1:10" s="1" customFormat="1"/>
    <row r="159" spans="1:10">
      <c r="A159" s="2" t="s">
        <v>30</v>
      </c>
      <c r="B159" s="59" t="s">
        <v>175</v>
      </c>
      <c r="C159" s="2" t="s">
        <v>176</v>
      </c>
      <c r="D159" s="13" t="s">
        <v>177</v>
      </c>
      <c r="E159" s="2" t="s">
        <v>178</v>
      </c>
      <c r="F159" s="41" t="s">
        <v>206</v>
      </c>
      <c r="G159" s="41" t="s">
        <v>207</v>
      </c>
      <c r="H159" s="41" t="s">
        <v>208</v>
      </c>
      <c r="I159" s="41" t="s">
        <v>209</v>
      </c>
      <c r="J159" s="42" t="s">
        <v>210</v>
      </c>
    </row>
    <row r="160" spans="1:10">
      <c r="A160" s="2">
        <v>0</v>
      </c>
      <c r="B160" s="59">
        <v>1</v>
      </c>
      <c r="C160" s="2">
        <v>0</v>
      </c>
      <c r="D160" s="13">
        <v>0</v>
      </c>
      <c r="E160" s="2">
        <v>0</v>
      </c>
      <c r="F160" s="2">
        <v>0.52</v>
      </c>
      <c r="G160" s="2">
        <v>0</v>
      </c>
      <c r="H160" s="2">
        <v>0</v>
      </c>
      <c r="I160" s="2">
        <v>0</v>
      </c>
      <c r="J160" s="2">
        <v>0.52</v>
      </c>
    </row>
    <row r="161" spans="1:10">
      <c r="A161" s="2">
        <v>1</v>
      </c>
      <c r="B161" s="59">
        <v>1</v>
      </c>
      <c r="C161" s="2">
        <v>0</v>
      </c>
      <c r="D161" s="13">
        <v>0</v>
      </c>
      <c r="E161" s="2">
        <v>0</v>
      </c>
      <c r="F161" s="2">
        <v>0.52</v>
      </c>
      <c r="G161" s="2">
        <v>0</v>
      </c>
      <c r="H161" s="2">
        <v>0</v>
      </c>
      <c r="I161" s="2">
        <v>0</v>
      </c>
      <c r="J161" s="2">
        <v>0.52</v>
      </c>
    </row>
    <row r="162" spans="1:10">
      <c r="A162" s="2">
        <v>2</v>
      </c>
      <c r="B162" s="59">
        <v>1</v>
      </c>
      <c r="C162" s="2">
        <v>0</v>
      </c>
      <c r="D162" s="13">
        <v>0</v>
      </c>
      <c r="E162" s="2">
        <v>0</v>
      </c>
      <c r="F162" s="2">
        <v>0.52</v>
      </c>
      <c r="G162" s="2">
        <v>0</v>
      </c>
      <c r="H162" s="2">
        <v>0</v>
      </c>
      <c r="I162" s="2">
        <v>0</v>
      </c>
      <c r="J162" s="2">
        <v>0.52</v>
      </c>
    </row>
    <row r="163" spans="1:10">
      <c r="A163" s="2">
        <v>3</v>
      </c>
      <c r="B163" s="59">
        <v>0.5</v>
      </c>
      <c r="C163" s="2">
        <v>0.16666666666666666</v>
      </c>
      <c r="D163" s="13">
        <v>0</v>
      </c>
      <c r="E163" s="2">
        <v>0</v>
      </c>
      <c r="F163" s="2">
        <v>0.5</v>
      </c>
      <c r="G163" s="2">
        <v>0</v>
      </c>
      <c r="H163" s="2">
        <v>0</v>
      </c>
      <c r="I163" s="2">
        <v>0</v>
      </c>
      <c r="J163" s="2">
        <v>0.5</v>
      </c>
    </row>
    <row r="164" spans="1:10">
      <c r="A164" s="2">
        <v>4</v>
      </c>
      <c r="B164" s="59">
        <v>0</v>
      </c>
      <c r="C164" s="2">
        <v>0.33333333333333331</v>
      </c>
      <c r="D164" s="13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>
      <c r="A165" s="2">
        <v>5</v>
      </c>
      <c r="B165" s="59">
        <v>0</v>
      </c>
      <c r="C165" s="2">
        <v>0.5</v>
      </c>
      <c r="D165" s="13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</row>
    <row r="166" spans="1:10">
      <c r="A166" s="2">
        <v>6</v>
      </c>
      <c r="B166" s="59">
        <v>0</v>
      </c>
      <c r="C166" s="2">
        <v>0.66666666666666663</v>
      </c>
      <c r="D166" s="13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>
      <c r="A167" s="2">
        <v>7</v>
      </c>
      <c r="B167" s="59">
        <v>0</v>
      </c>
      <c r="C167" s="2">
        <v>0.83333333333333337</v>
      </c>
      <c r="D167" s="13">
        <v>0.125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</row>
    <row r="168" spans="1:10">
      <c r="A168" s="2">
        <v>8</v>
      </c>
      <c r="B168" s="59">
        <v>0</v>
      </c>
      <c r="C168" s="2">
        <v>1</v>
      </c>
      <c r="D168" s="13">
        <v>0.25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</row>
    <row r="169" spans="1:10">
      <c r="A169" s="2">
        <v>9</v>
      </c>
      <c r="B169" s="59">
        <v>0</v>
      </c>
      <c r="C169" s="2">
        <v>0.83333333333333337</v>
      </c>
      <c r="D169" s="13">
        <v>0.375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>
      <c r="A170" s="2">
        <v>10</v>
      </c>
      <c r="B170" s="59">
        <v>0</v>
      </c>
      <c r="C170" s="2">
        <v>0.66666666666666663</v>
      </c>
      <c r="D170" s="13">
        <v>0.5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</row>
    <row r="171" spans="1:10">
      <c r="A171" s="2">
        <v>11</v>
      </c>
      <c r="B171" s="59">
        <v>0</v>
      </c>
      <c r="C171" s="2">
        <v>0.5</v>
      </c>
      <c r="D171" s="13">
        <v>0.625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</row>
    <row r="172" spans="1:10">
      <c r="A172" s="2">
        <v>12</v>
      </c>
      <c r="B172" s="59">
        <v>0</v>
      </c>
      <c r="C172" s="2">
        <v>0.33333333333333331</v>
      </c>
      <c r="D172" s="13">
        <v>0.75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</row>
    <row r="173" spans="1:10">
      <c r="A173" s="2">
        <v>13</v>
      </c>
      <c r="B173" s="59">
        <v>0</v>
      </c>
      <c r="C173" s="2">
        <v>0.16666666666666666</v>
      </c>
      <c r="D173" s="13">
        <v>0.875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>
      <c r="A174" s="2">
        <v>14</v>
      </c>
      <c r="B174" s="59">
        <v>0</v>
      </c>
      <c r="C174" s="2">
        <v>0</v>
      </c>
      <c r="D174" s="13">
        <v>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 spans="1:10">
      <c r="A175" s="2">
        <v>15</v>
      </c>
      <c r="B175" s="59">
        <v>0</v>
      </c>
      <c r="C175" s="2">
        <v>0</v>
      </c>
      <c r="D175" s="13">
        <v>0.875</v>
      </c>
      <c r="E175" s="2">
        <v>0.125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>
      <c r="A176" s="2">
        <v>16</v>
      </c>
      <c r="B176" s="59">
        <v>0</v>
      </c>
      <c r="C176" s="2">
        <v>0</v>
      </c>
      <c r="D176" s="13">
        <v>0.75</v>
      </c>
      <c r="E176" s="2">
        <v>0.25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 spans="1:10">
      <c r="A177" s="2">
        <v>17</v>
      </c>
      <c r="B177" s="59">
        <v>0</v>
      </c>
      <c r="C177" s="2">
        <v>0</v>
      </c>
      <c r="D177" s="13">
        <v>0.625</v>
      </c>
      <c r="E177" s="2">
        <v>0.375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>
      <c r="A178" s="2">
        <v>18</v>
      </c>
      <c r="B178" s="59">
        <v>0</v>
      </c>
      <c r="C178" s="2">
        <v>0</v>
      </c>
      <c r="D178" s="13">
        <v>0.5</v>
      </c>
      <c r="E178" s="2">
        <v>0.5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</row>
    <row r="179" spans="1:10">
      <c r="A179" s="2">
        <v>19</v>
      </c>
      <c r="B179" s="59">
        <v>0</v>
      </c>
      <c r="C179" s="2">
        <v>0</v>
      </c>
      <c r="D179" s="13">
        <v>0.375</v>
      </c>
      <c r="E179" s="2">
        <v>0.625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</row>
    <row r="180" spans="1:10">
      <c r="A180" s="2">
        <v>20</v>
      </c>
      <c r="B180" s="59">
        <v>0</v>
      </c>
      <c r="C180" s="2">
        <v>0</v>
      </c>
      <c r="D180" s="13">
        <v>0.25</v>
      </c>
      <c r="E180" s="2">
        <v>0.75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>
      <c r="A181" s="2">
        <v>21</v>
      </c>
      <c r="B181" s="59">
        <v>0</v>
      </c>
      <c r="C181" s="2">
        <v>0</v>
      </c>
      <c r="D181" s="13">
        <v>0.125</v>
      </c>
      <c r="E181" s="2">
        <v>0.875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</row>
    <row r="182" spans="1:10">
      <c r="A182" s="2">
        <v>22</v>
      </c>
      <c r="B182" s="59">
        <v>0</v>
      </c>
      <c r="C182" s="2">
        <v>0</v>
      </c>
      <c r="D182" s="13">
        <v>0</v>
      </c>
      <c r="E182" s="2">
        <v>1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</row>
    <row r="183" spans="1:10">
      <c r="A183" s="2">
        <v>23</v>
      </c>
      <c r="B183" s="59">
        <v>0</v>
      </c>
      <c r="C183" s="2">
        <v>0</v>
      </c>
      <c r="D183" s="13">
        <v>0</v>
      </c>
      <c r="E183" s="2">
        <v>1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  <row r="184" spans="1:10">
      <c r="A184" s="2">
        <v>24</v>
      </c>
      <c r="B184" s="59">
        <v>0</v>
      </c>
      <c r="C184" s="2">
        <v>0</v>
      </c>
      <c r="D184" s="13">
        <v>0</v>
      </c>
      <c r="E184" s="2">
        <v>1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</row>
    <row r="185" spans="1:10">
      <c r="A185" s="2">
        <v>25</v>
      </c>
      <c r="B185" s="59">
        <v>0</v>
      </c>
      <c r="C185" s="2">
        <v>0</v>
      </c>
      <c r="D185" s="13">
        <v>0</v>
      </c>
      <c r="E185" s="2">
        <v>1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</row>
    <row r="188" spans="1:10" s="49" customFormat="1">
      <c r="A188" s="49" t="s">
        <v>201</v>
      </c>
    </row>
    <row r="191" spans="1:10">
      <c r="A191" s="1" t="s">
        <v>309</v>
      </c>
      <c r="B191" s="1">
        <f>(((0+1+2)*0.52)+(3*0.294))/((3*0.52)+(0.5))</f>
        <v>1.1854368932038835</v>
      </c>
    </row>
    <row r="192" spans="1:10">
      <c r="B192" s="1" t="s">
        <v>175</v>
      </c>
    </row>
    <row r="195" spans="1:9" s="52" customFormat="1">
      <c r="A195" s="52" t="s">
        <v>151</v>
      </c>
    </row>
    <row r="197" spans="1:9">
      <c r="A197" s="1" t="s">
        <v>310</v>
      </c>
      <c r="B197" s="1"/>
      <c r="C197" s="2">
        <v>26.9</v>
      </c>
      <c r="D197" s="1"/>
      <c r="E197" s="2">
        <v>83</v>
      </c>
      <c r="F197" s="1"/>
      <c r="G197" s="2">
        <v>1010.2</v>
      </c>
      <c r="H197" s="1"/>
      <c r="I197" s="2">
        <v>4</v>
      </c>
    </row>
    <row r="198" spans="1:9">
      <c r="B198" s="1" t="s">
        <v>72</v>
      </c>
      <c r="C198" s="1">
        <v>0</v>
      </c>
      <c r="D198" s="1" t="s">
        <v>89</v>
      </c>
      <c r="E198" s="1">
        <f>(83.75-83)/(83.75-77.8)</f>
        <v>0.12605042016806717</v>
      </c>
      <c r="F198" s="1" t="s">
        <v>110</v>
      </c>
      <c r="G198" s="1">
        <v>0</v>
      </c>
      <c r="H198" s="1" t="s">
        <v>134</v>
      </c>
      <c r="I198" s="1">
        <v>0</v>
      </c>
    </row>
    <row r="199" spans="1:9">
      <c r="B199" s="1" t="s">
        <v>77</v>
      </c>
      <c r="C199" s="1">
        <v>0</v>
      </c>
      <c r="D199" s="1" t="s">
        <v>90</v>
      </c>
      <c r="E199" s="1">
        <f>(83-77.8)/(83.75-77.8)</f>
        <v>0.87394957983193289</v>
      </c>
      <c r="F199" s="1" t="s">
        <v>111</v>
      </c>
      <c r="G199" s="58">
        <f>(1011.8-G197)/(1011.8-1009.8)</f>
        <v>0.79999999999995453</v>
      </c>
      <c r="H199" s="1" t="s">
        <v>135</v>
      </c>
      <c r="I199" s="58">
        <f>(6.175-I197)/(6.175-3.6)</f>
        <v>0.84466019417475735</v>
      </c>
    </row>
    <row r="200" spans="1:9">
      <c r="B200" s="1" t="s">
        <v>83</v>
      </c>
      <c r="C200" s="1">
        <v>1</v>
      </c>
      <c r="D200" s="1" t="s">
        <v>91</v>
      </c>
      <c r="E200" s="1">
        <v>0</v>
      </c>
      <c r="F200" s="1" t="s">
        <v>112</v>
      </c>
      <c r="G200" s="58">
        <f>(G197-1009.8)/(1011.8-1009.8)</f>
        <v>0.20000000000004547</v>
      </c>
      <c r="H200" s="1" t="s">
        <v>136</v>
      </c>
      <c r="I200" s="1">
        <f>(I197-3.6)/(6.175-3.6)</f>
        <v>0.1553398058252427</v>
      </c>
    </row>
    <row r="203" spans="1:9" s="52" customFormat="1">
      <c r="A203" s="57" t="s">
        <v>154</v>
      </c>
    </row>
    <row r="205" spans="1:9">
      <c r="A205" s="1" t="s">
        <v>155</v>
      </c>
      <c r="B205" s="2" t="s">
        <v>7</v>
      </c>
      <c r="C205" s="2" t="s">
        <v>10</v>
      </c>
      <c r="D205" s="2" t="s">
        <v>13</v>
      </c>
      <c r="E205" s="2" t="s">
        <v>16</v>
      </c>
      <c r="F205" s="2" t="s">
        <v>20</v>
      </c>
    </row>
    <row r="206" spans="1:9">
      <c r="B206" s="1">
        <v>0</v>
      </c>
      <c r="C206" s="1">
        <f>(83.75-83)/(83.75-77.8)</f>
        <v>0.12605042016806717</v>
      </c>
      <c r="D206" s="1">
        <v>0</v>
      </c>
      <c r="E206" s="1">
        <v>0</v>
      </c>
      <c r="F206" s="1">
        <v>0</v>
      </c>
    </row>
    <row r="207" spans="1:9">
      <c r="A207" s="1" t="s">
        <v>156</v>
      </c>
      <c r="B207" s="2" t="s">
        <v>7</v>
      </c>
      <c r="C207" s="2" t="s">
        <v>10</v>
      </c>
      <c r="D207" s="2" t="s">
        <v>13</v>
      </c>
      <c r="E207" s="2" t="s">
        <v>17</v>
      </c>
      <c r="F207" s="2" t="s">
        <v>20</v>
      </c>
    </row>
    <row r="208" spans="1:9">
      <c r="A208" s="1"/>
      <c r="B208" s="1">
        <v>0</v>
      </c>
      <c r="C208" s="1">
        <f>(83.75-83)/(83.75-77.8)</f>
        <v>0.12605042016806717</v>
      </c>
      <c r="D208" s="1">
        <v>0</v>
      </c>
      <c r="E208" s="1">
        <v>0.84466019417475735</v>
      </c>
      <c r="F208" s="1">
        <v>0</v>
      </c>
    </row>
    <row r="209" spans="1:6">
      <c r="A209" s="1" t="s">
        <v>157</v>
      </c>
      <c r="B209" s="2" t="s">
        <v>7</v>
      </c>
      <c r="C209" s="2" t="s">
        <v>11</v>
      </c>
      <c r="D209" s="2" t="s">
        <v>14</v>
      </c>
      <c r="E209" s="2" t="s">
        <v>16</v>
      </c>
      <c r="F209" s="2" t="s">
        <v>20</v>
      </c>
    </row>
    <row r="210" spans="1:6">
      <c r="B210" s="1">
        <v>0</v>
      </c>
      <c r="C210" s="1">
        <f>(83-77.8)/(83.75-77.8)</f>
        <v>0.87394957983193289</v>
      </c>
      <c r="D210" s="1">
        <v>0.79999999999995453</v>
      </c>
      <c r="E210" s="1">
        <v>0</v>
      </c>
      <c r="F210" s="1">
        <v>0</v>
      </c>
    </row>
    <row r="211" spans="1:6">
      <c r="A211" s="1" t="s">
        <v>158</v>
      </c>
      <c r="B211" s="2" t="s">
        <v>7</v>
      </c>
      <c r="C211" s="2" t="s">
        <v>11</v>
      </c>
      <c r="D211" s="2" t="s">
        <v>14</v>
      </c>
      <c r="E211" s="2" t="s">
        <v>17</v>
      </c>
      <c r="F211" s="2" t="s">
        <v>21</v>
      </c>
    </row>
    <row r="212" spans="1:6">
      <c r="A212" s="1"/>
      <c r="B212" s="1">
        <v>0</v>
      </c>
      <c r="C212" s="1">
        <f>(83-77.8)/(83.75-77.8)</f>
        <v>0.87394957983193289</v>
      </c>
      <c r="D212" s="1">
        <v>0.79999999999995453</v>
      </c>
      <c r="E212" s="1">
        <v>0.84466019417475735</v>
      </c>
      <c r="F212" s="1">
        <v>0</v>
      </c>
    </row>
    <row r="213" spans="1:6">
      <c r="A213" s="1" t="s">
        <v>159</v>
      </c>
      <c r="B213" s="2" t="s">
        <v>7</v>
      </c>
      <c r="C213" s="2" t="s">
        <v>12</v>
      </c>
      <c r="D213" s="2" t="s">
        <v>14</v>
      </c>
      <c r="E213" s="2" t="s">
        <v>16</v>
      </c>
      <c r="F213" s="2" t="s">
        <v>19</v>
      </c>
    </row>
    <row r="214" spans="1:6">
      <c r="A214" s="1"/>
      <c r="B214" s="1">
        <v>0</v>
      </c>
      <c r="C214" s="1">
        <v>0</v>
      </c>
      <c r="D214" s="1">
        <v>0.79999999999995453</v>
      </c>
      <c r="E214" s="1">
        <v>0</v>
      </c>
      <c r="F214" s="1">
        <v>0</v>
      </c>
    </row>
    <row r="215" spans="1:6">
      <c r="A215" s="1" t="s">
        <v>160</v>
      </c>
      <c r="B215" s="2" t="s">
        <v>7</v>
      </c>
      <c r="C215" s="2" t="s">
        <v>12</v>
      </c>
      <c r="D215" s="2" t="s">
        <v>15</v>
      </c>
      <c r="E215" s="2" t="s">
        <v>16</v>
      </c>
      <c r="F215" s="2" t="s">
        <v>19</v>
      </c>
    </row>
    <row r="216" spans="1:6">
      <c r="A216" s="1"/>
      <c r="B216" s="1">
        <v>0</v>
      </c>
      <c r="C216" s="1">
        <v>0</v>
      </c>
      <c r="D216" s="58">
        <v>0.20000000000004547</v>
      </c>
      <c r="E216" s="1">
        <v>0</v>
      </c>
      <c r="F216" s="1">
        <v>0</v>
      </c>
    </row>
    <row r="217" spans="1:6">
      <c r="A217" s="1" t="s">
        <v>161</v>
      </c>
      <c r="B217" s="2" t="s">
        <v>8</v>
      </c>
      <c r="C217" s="2" t="s">
        <v>10</v>
      </c>
      <c r="D217" s="2" t="s">
        <v>13</v>
      </c>
      <c r="E217" s="2" t="s">
        <v>16</v>
      </c>
      <c r="F217" s="2" t="s">
        <v>20</v>
      </c>
    </row>
    <row r="218" spans="1:6">
      <c r="A218" s="1"/>
      <c r="B218" s="37">
        <v>0</v>
      </c>
      <c r="C218" s="1">
        <f>(83.75-83)/(83.75-77.8)</f>
        <v>0.12605042016806717</v>
      </c>
      <c r="D218" s="1">
        <v>0</v>
      </c>
      <c r="E218" s="1">
        <v>0</v>
      </c>
      <c r="F218" s="1">
        <v>0</v>
      </c>
    </row>
    <row r="219" spans="1:6">
      <c r="A219" s="1" t="s">
        <v>162</v>
      </c>
      <c r="B219" s="2" t="s">
        <v>8</v>
      </c>
      <c r="C219" s="2" t="s">
        <v>10</v>
      </c>
      <c r="D219" s="2" t="s">
        <v>14</v>
      </c>
      <c r="E219" s="2" t="s">
        <v>17</v>
      </c>
      <c r="F219" s="2" t="s">
        <v>21</v>
      </c>
    </row>
    <row r="220" spans="1:6">
      <c r="A220" s="1"/>
      <c r="B220" s="37">
        <v>0</v>
      </c>
      <c r="C220" s="1">
        <f>(83.75-83)/(83.75-77.8)</f>
        <v>0.12605042016806717</v>
      </c>
      <c r="D220" s="1">
        <v>0.79999999999995453</v>
      </c>
      <c r="E220" s="1">
        <v>0.84466019417475735</v>
      </c>
      <c r="F220" s="1">
        <v>0</v>
      </c>
    </row>
    <row r="221" spans="1:6">
      <c r="A221" s="1" t="s">
        <v>163</v>
      </c>
      <c r="B221" s="2" t="s">
        <v>8</v>
      </c>
      <c r="C221" s="2" t="s">
        <v>11</v>
      </c>
      <c r="D221" s="2" t="s">
        <v>13</v>
      </c>
      <c r="E221" s="2" t="s">
        <v>17</v>
      </c>
      <c r="F221" s="2" t="s">
        <v>19</v>
      </c>
    </row>
    <row r="222" spans="1:6">
      <c r="A222" s="1"/>
      <c r="B222" s="37">
        <v>0</v>
      </c>
      <c r="C222" s="1">
        <f>(83-77.8)/(83.75-77.8)</f>
        <v>0.87394957983193289</v>
      </c>
      <c r="D222" s="1">
        <v>0</v>
      </c>
      <c r="E222" s="1">
        <v>0.84466019417475735</v>
      </c>
      <c r="F222" s="1">
        <v>0</v>
      </c>
    </row>
    <row r="223" spans="1:6">
      <c r="A223" s="1" t="s">
        <v>164</v>
      </c>
      <c r="B223" s="2" t="s">
        <v>8</v>
      </c>
      <c r="C223" s="2" t="s">
        <v>11</v>
      </c>
      <c r="D223" s="2" t="s">
        <v>14</v>
      </c>
      <c r="E223" s="2" t="s">
        <v>18</v>
      </c>
      <c r="F223" s="2" t="s">
        <v>21</v>
      </c>
    </row>
    <row r="224" spans="1:6">
      <c r="A224" s="1"/>
      <c r="B224" s="37">
        <v>0</v>
      </c>
      <c r="C224" s="1">
        <f>(83-77.8)/(83.75-77.8)</f>
        <v>0.87394957983193289</v>
      </c>
      <c r="D224" s="1">
        <v>0.79999999999995453</v>
      </c>
      <c r="E224" s="1">
        <v>0.1553398058252427</v>
      </c>
      <c r="F224" s="1">
        <v>0</v>
      </c>
    </row>
    <row r="225" spans="1:6">
      <c r="A225" s="1" t="s">
        <v>165</v>
      </c>
      <c r="B225" s="2" t="s">
        <v>8</v>
      </c>
      <c r="C225" s="2" t="s">
        <v>12</v>
      </c>
      <c r="D225" s="2" t="s">
        <v>13</v>
      </c>
      <c r="E225" s="2" t="s">
        <v>17</v>
      </c>
      <c r="F225" s="2" t="s">
        <v>21</v>
      </c>
    </row>
    <row r="226" spans="1:6">
      <c r="A226" s="1"/>
      <c r="B226" s="37">
        <v>0</v>
      </c>
      <c r="C226" s="1">
        <v>0</v>
      </c>
      <c r="D226" s="1">
        <v>0</v>
      </c>
      <c r="E226" s="1">
        <v>0.84466019417475735</v>
      </c>
      <c r="F226" s="1">
        <v>0</v>
      </c>
    </row>
    <row r="227" spans="1:6">
      <c r="A227" s="1" t="s">
        <v>166</v>
      </c>
      <c r="B227" s="2" t="s">
        <v>8</v>
      </c>
      <c r="C227" s="2" t="s">
        <v>12</v>
      </c>
      <c r="D227" s="2" t="s">
        <v>15</v>
      </c>
      <c r="E227" s="2" t="s">
        <v>16</v>
      </c>
      <c r="F227" s="2" t="s">
        <v>22</v>
      </c>
    </row>
    <row r="228" spans="1:6">
      <c r="A228" s="1"/>
      <c r="B228" s="37">
        <v>0</v>
      </c>
      <c r="C228" s="1">
        <v>0</v>
      </c>
      <c r="D228" s="58">
        <v>0.20000000000004547</v>
      </c>
      <c r="E228" s="1">
        <v>0</v>
      </c>
      <c r="F228" s="1">
        <v>0</v>
      </c>
    </row>
    <row r="229" spans="1:6">
      <c r="A229" s="1" t="s">
        <v>167</v>
      </c>
      <c r="B229" s="2" t="s">
        <v>9</v>
      </c>
      <c r="C229" s="2" t="s">
        <v>10</v>
      </c>
      <c r="D229" s="2" t="s">
        <v>14</v>
      </c>
      <c r="E229" s="2" t="s">
        <v>16</v>
      </c>
      <c r="F229" s="2" t="s">
        <v>19</v>
      </c>
    </row>
    <row r="230" spans="1:6">
      <c r="B230" s="1">
        <v>1</v>
      </c>
      <c r="C230" s="1">
        <f>(83.75-83)/(83.75-77.8)</f>
        <v>0.12605042016806717</v>
      </c>
      <c r="D230" s="1">
        <v>0.79999999999995453</v>
      </c>
      <c r="E230" s="1">
        <v>0</v>
      </c>
      <c r="F230" s="1">
        <v>0</v>
      </c>
    </row>
    <row r="231" spans="1:6">
      <c r="A231" s="1" t="s">
        <v>168</v>
      </c>
      <c r="B231" s="2" t="s">
        <v>9</v>
      </c>
      <c r="C231" s="2" t="s">
        <v>10</v>
      </c>
      <c r="D231" s="2" t="s">
        <v>15</v>
      </c>
      <c r="E231" s="2" t="s">
        <v>18</v>
      </c>
      <c r="F231" s="2" t="s">
        <v>22</v>
      </c>
    </row>
    <row r="232" spans="1:6">
      <c r="A232" s="1"/>
      <c r="B232" s="1">
        <v>1</v>
      </c>
      <c r="C232" s="1">
        <f>(83.75-83)/(83.75-77.8)</f>
        <v>0.12605042016806717</v>
      </c>
      <c r="D232" s="58">
        <v>0.20000000000004547</v>
      </c>
      <c r="E232" s="1">
        <v>0.1553398058252427</v>
      </c>
      <c r="F232" s="51">
        <f>(83.75-83)/(83.75-77.8)</f>
        <v>0.12605042016806717</v>
      </c>
    </row>
    <row r="233" spans="1:6">
      <c r="A233" s="1" t="s">
        <v>169</v>
      </c>
      <c r="B233" s="2" t="s">
        <v>9</v>
      </c>
      <c r="C233" s="2" t="s">
        <v>11</v>
      </c>
      <c r="D233" s="2" t="s">
        <v>13</v>
      </c>
      <c r="E233" s="2" t="s">
        <v>18</v>
      </c>
      <c r="F233" s="2" t="s">
        <v>22</v>
      </c>
    </row>
    <row r="234" spans="1:6">
      <c r="A234" s="1"/>
      <c r="B234" s="1">
        <v>1</v>
      </c>
      <c r="C234" s="1">
        <f>(83-77.8)/(83.75-77.8)</f>
        <v>0.87394957983193289</v>
      </c>
      <c r="D234" s="1">
        <v>0</v>
      </c>
      <c r="E234" s="1">
        <v>0.1553398058252427</v>
      </c>
      <c r="F234" s="1">
        <v>0</v>
      </c>
    </row>
    <row r="235" spans="1:6">
      <c r="A235" s="1" t="s">
        <v>170</v>
      </c>
      <c r="B235" s="2" t="s">
        <v>9</v>
      </c>
      <c r="C235" s="2" t="s">
        <v>11</v>
      </c>
      <c r="D235" s="2" t="s">
        <v>15</v>
      </c>
      <c r="E235" s="2" t="s">
        <v>16</v>
      </c>
      <c r="F235" s="2" t="s">
        <v>22</v>
      </c>
    </row>
    <row r="236" spans="1:6">
      <c r="B236" s="1">
        <v>1</v>
      </c>
      <c r="C236" s="1">
        <f>(83-77.8)/(83.75-77.8)</f>
        <v>0.87394957983193289</v>
      </c>
      <c r="D236" s="58">
        <v>0.20000000000004547</v>
      </c>
      <c r="E236" s="1">
        <v>0</v>
      </c>
      <c r="F236" s="1">
        <v>0</v>
      </c>
    </row>
    <row r="237" spans="1:6">
      <c r="A237" s="1" t="s">
        <v>171</v>
      </c>
      <c r="B237" s="2" t="s">
        <v>9</v>
      </c>
      <c r="C237" s="2" t="s">
        <v>12</v>
      </c>
      <c r="D237" s="2" t="s">
        <v>14</v>
      </c>
      <c r="E237" s="2" t="s">
        <v>17</v>
      </c>
      <c r="F237" s="2" t="s">
        <v>22</v>
      </c>
    </row>
    <row r="238" spans="1:6">
      <c r="A238" s="1"/>
      <c r="B238" s="1">
        <v>1</v>
      </c>
      <c r="C238" s="1">
        <v>0</v>
      </c>
      <c r="D238" s="1">
        <v>0.79999999999995453</v>
      </c>
      <c r="E238" s="1">
        <v>0.84466019417475735</v>
      </c>
      <c r="F238" s="1">
        <v>0</v>
      </c>
    </row>
    <row r="239" spans="1:6">
      <c r="A239" s="1" t="s">
        <v>172</v>
      </c>
      <c r="B239" s="2" t="s">
        <v>9</v>
      </c>
      <c r="C239" s="2" t="s">
        <v>12</v>
      </c>
      <c r="D239" s="2" t="s">
        <v>15</v>
      </c>
      <c r="E239" s="2" t="s">
        <v>18</v>
      </c>
      <c r="F239" s="2" t="s">
        <v>22</v>
      </c>
    </row>
    <row r="240" spans="1:6">
      <c r="B240" s="1">
        <v>1</v>
      </c>
      <c r="C240" s="1">
        <v>0</v>
      </c>
      <c r="D240" s="58">
        <v>0.20000000000004547</v>
      </c>
      <c r="E240" s="1">
        <v>0.1553398058252427</v>
      </c>
      <c r="F240" s="1">
        <v>0</v>
      </c>
    </row>
    <row r="243" spans="1:10" s="48" customFormat="1">
      <c r="A243" s="57" t="s">
        <v>173</v>
      </c>
    </row>
    <row r="244" spans="1:10" s="1" customFormat="1"/>
    <row r="245" spans="1:10" s="1" customFormat="1">
      <c r="A245" s="1" t="s">
        <v>312</v>
      </c>
      <c r="B245" s="53">
        <f>(83.75-83)/(83.75-77.8)</f>
        <v>0.12605042016806717</v>
      </c>
    </row>
    <row r="246" spans="1:10" s="1" customFormat="1"/>
    <row r="247" spans="1:10" s="1" customFormat="1"/>
    <row r="249" spans="1:10">
      <c r="A249" s="2" t="s">
        <v>30</v>
      </c>
      <c r="B249" s="54" t="s">
        <v>175</v>
      </c>
      <c r="C249" s="2" t="s">
        <v>176</v>
      </c>
      <c r="D249" s="2" t="s">
        <v>177</v>
      </c>
      <c r="E249" s="2" t="s">
        <v>178</v>
      </c>
      <c r="F249" s="41" t="s">
        <v>206</v>
      </c>
      <c r="G249" s="41" t="s">
        <v>207</v>
      </c>
      <c r="H249" s="41" t="s">
        <v>208</v>
      </c>
      <c r="I249" s="41" t="s">
        <v>209</v>
      </c>
      <c r="J249" s="42" t="s">
        <v>210</v>
      </c>
    </row>
    <row r="250" spans="1:10">
      <c r="A250" s="2">
        <v>0</v>
      </c>
      <c r="B250" s="54">
        <v>1</v>
      </c>
      <c r="C250" s="2">
        <v>0</v>
      </c>
      <c r="D250" s="2">
        <v>0</v>
      </c>
      <c r="E250" s="2">
        <v>0</v>
      </c>
      <c r="F250" s="2">
        <v>0.126</v>
      </c>
      <c r="G250" s="2">
        <v>0</v>
      </c>
      <c r="H250" s="2">
        <v>0</v>
      </c>
      <c r="I250" s="2">
        <v>0</v>
      </c>
      <c r="J250" s="2">
        <v>0.126</v>
      </c>
    </row>
    <row r="251" spans="1:10">
      <c r="A251" s="2">
        <v>1</v>
      </c>
      <c r="B251" s="54">
        <v>1</v>
      </c>
      <c r="C251" s="2">
        <v>0</v>
      </c>
      <c r="D251" s="2">
        <v>0</v>
      </c>
      <c r="E251" s="2">
        <v>0</v>
      </c>
      <c r="F251" s="2">
        <v>0.126</v>
      </c>
      <c r="G251" s="2">
        <v>0</v>
      </c>
      <c r="H251" s="2">
        <v>0</v>
      </c>
      <c r="I251" s="2">
        <v>0</v>
      </c>
      <c r="J251" s="2">
        <v>0.126</v>
      </c>
    </row>
    <row r="252" spans="1:10">
      <c r="A252" s="2">
        <v>2</v>
      </c>
      <c r="B252" s="54">
        <v>1</v>
      </c>
      <c r="C252" s="2">
        <v>0</v>
      </c>
      <c r="D252" s="2">
        <v>0</v>
      </c>
      <c r="E252" s="2">
        <v>0</v>
      </c>
      <c r="F252" s="2">
        <v>0.126</v>
      </c>
      <c r="G252" s="2">
        <v>0</v>
      </c>
      <c r="H252" s="2">
        <v>0</v>
      </c>
      <c r="I252" s="2">
        <v>0</v>
      </c>
      <c r="J252" s="2">
        <v>0.126</v>
      </c>
    </row>
    <row r="253" spans="1:10">
      <c r="A253" s="2">
        <v>3</v>
      </c>
      <c r="B253" s="54">
        <v>0.5</v>
      </c>
      <c r="C253" s="2">
        <v>0.16666666666666666</v>
      </c>
      <c r="D253" s="2">
        <v>0</v>
      </c>
      <c r="E253" s="2">
        <v>0</v>
      </c>
      <c r="F253" s="2">
        <v>0.126</v>
      </c>
      <c r="G253" s="2">
        <v>0</v>
      </c>
      <c r="H253" s="2">
        <v>0</v>
      </c>
      <c r="I253" s="2">
        <v>0</v>
      </c>
      <c r="J253" s="2">
        <v>0.126</v>
      </c>
    </row>
    <row r="254" spans="1:10">
      <c r="A254" s="2">
        <v>4</v>
      </c>
      <c r="B254" s="54">
        <v>0</v>
      </c>
      <c r="C254" s="2">
        <v>0.33333333333333331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  <row r="255" spans="1:10">
      <c r="A255" s="2">
        <v>5</v>
      </c>
      <c r="B255" s="54">
        <v>0</v>
      </c>
      <c r="C255" s="2">
        <v>0.5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 spans="1:10">
      <c r="A256" s="2">
        <v>6</v>
      </c>
      <c r="B256" s="54">
        <v>0</v>
      </c>
      <c r="C256" s="2">
        <v>0.66666666666666663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 spans="1:10">
      <c r="A257" s="2">
        <v>7</v>
      </c>
      <c r="B257" s="54">
        <v>0</v>
      </c>
      <c r="C257" s="2">
        <v>0.83333333333333337</v>
      </c>
      <c r="D257" s="2">
        <v>0.125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</row>
    <row r="258" spans="1:10">
      <c r="A258" s="2">
        <v>8</v>
      </c>
      <c r="B258" s="54">
        <v>0</v>
      </c>
      <c r="C258" s="2">
        <v>1</v>
      </c>
      <c r="D258" s="2">
        <v>0.25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</row>
    <row r="259" spans="1:10">
      <c r="A259" s="2">
        <v>9</v>
      </c>
      <c r="B259" s="54">
        <v>0</v>
      </c>
      <c r="C259" s="2">
        <v>0.83333333333333337</v>
      </c>
      <c r="D259" s="2">
        <v>0.375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</row>
    <row r="260" spans="1:10">
      <c r="A260" s="2">
        <v>10</v>
      </c>
      <c r="B260" s="54">
        <v>0</v>
      </c>
      <c r="C260" s="2">
        <v>0.66666666666666663</v>
      </c>
      <c r="D260" s="2">
        <v>0.5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</row>
    <row r="261" spans="1:10">
      <c r="A261" s="2">
        <v>11</v>
      </c>
      <c r="B261" s="54">
        <v>0</v>
      </c>
      <c r="C261" s="2">
        <v>0.5</v>
      </c>
      <c r="D261" s="2">
        <v>0.625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</row>
    <row r="262" spans="1:10">
      <c r="A262" s="2">
        <v>12</v>
      </c>
      <c r="B262" s="54">
        <v>0</v>
      </c>
      <c r="C262" s="2">
        <v>0.33333333333333331</v>
      </c>
      <c r="D262" s="2">
        <v>0.75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</row>
    <row r="263" spans="1:10">
      <c r="A263" s="2">
        <v>13</v>
      </c>
      <c r="B263" s="54">
        <v>0</v>
      </c>
      <c r="C263" s="2">
        <v>0.16666666666666666</v>
      </c>
      <c r="D263" s="2">
        <v>0.875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</row>
    <row r="264" spans="1:10">
      <c r="A264" s="2">
        <v>14</v>
      </c>
      <c r="B264" s="54">
        <v>0</v>
      </c>
      <c r="C264" s="2">
        <v>0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>
      <c r="A265" s="2">
        <v>15</v>
      </c>
      <c r="B265" s="54">
        <v>0</v>
      </c>
      <c r="C265" s="2">
        <v>0</v>
      </c>
      <c r="D265" s="2">
        <v>0.875</v>
      </c>
      <c r="E265" s="2">
        <v>0.125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</row>
    <row r="266" spans="1:10">
      <c r="A266" s="2">
        <v>16</v>
      </c>
      <c r="B266" s="54">
        <v>0</v>
      </c>
      <c r="C266" s="2">
        <v>0</v>
      </c>
      <c r="D266" s="2">
        <v>0.75</v>
      </c>
      <c r="E266" s="2">
        <v>0.25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</row>
    <row r="267" spans="1:10">
      <c r="A267" s="2">
        <v>17</v>
      </c>
      <c r="B267" s="54">
        <v>0</v>
      </c>
      <c r="C267" s="2">
        <v>0</v>
      </c>
      <c r="D267" s="2">
        <v>0.625</v>
      </c>
      <c r="E267" s="2">
        <v>0.375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</row>
    <row r="268" spans="1:10">
      <c r="A268" s="2">
        <v>18</v>
      </c>
      <c r="B268" s="54">
        <v>0</v>
      </c>
      <c r="C268" s="2">
        <v>0</v>
      </c>
      <c r="D268" s="2">
        <v>0.5</v>
      </c>
      <c r="E268" s="2">
        <v>0.5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</row>
    <row r="269" spans="1:10">
      <c r="A269" s="2">
        <v>19</v>
      </c>
      <c r="B269" s="54">
        <v>0</v>
      </c>
      <c r="C269" s="2">
        <v>0</v>
      </c>
      <c r="D269" s="2">
        <v>0.375</v>
      </c>
      <c r="E269" s="2">
        <v>0.625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</row>
    <row r="270" spans="1:10">
      <c r="A270" s="2">
        <v>20</v>
      </c>
      <c r="B270" s="54">
        <v>0</v>
      </c>
      <c r="C270" s="2">
        <v>0</v>
      </c>
      <c r="D270" s="2">
        <v>0.25</v>
      </c>
      <c r="E270" s="2">
        <v>0.75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</row>
    <row r="271" spans="1:10">
      <c r="A271" s="2">
        <v>21</v>
      </c>
      <c r="B271" s="54">
        <v>0</v>
      </c>
      <c r="C271" s="2">
        <v>0</v>
      </c>
      <c r="D271" s="2">
        <v>0.125</v>
      </c>
      <c r="E271" s="2">
        <v>0.875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</row>
    <row r="272" spans="1:10">
      <c r="A272" s="2">
        <v>22</v>
      </c>
      <c r="B272" s="54">
        <v>0</v>
      </c>
      <c r="C272" s="2">
        <v>0</v>
      </c>
      <c r="D272" s="2">
        <v>0</v>
      </c>
      <c r="E272" s="2">
        <v>1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</row>
    <row r="273" spans="1:10">
      <c r="A273" s="2">
        <v>23</v>
      </c>
      <c r="B273" s="54">
        <v>0</v>
      </c>
      <c r="C273" s="2">
        <v>0</v>
      </c>
      <c r="D273" s="2">
        <v>0</v>
      </c>
      <c r="E273" s="2">
        <v>1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</row>
    <row r="274" spans="1:10">
      <c r="A274" s="2">
        <v>24</v>
      </c>
      <c r="B274" s="54">
        <v>0</v>
      </c>
      <c r="C274" s="2">
        <v>0</v>
      </c>
      <c r="D274" s="2">
        <v>0</v>
      </c>
      <c r="E274" s="2">
        <v>1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</row>
    <row r="275" spans="1:10">
      <c r="A275" s="2">
        <v>25</v>
      </c>
      <c r="B275" s="54">
        <v>0</v>
      </c>
      <c r="C275" s="2">
        <v>0</v>
      </c>
      <c r="D275" s="2">
        <v>0</v>
      </c>
      <c r="E275" s="2">
        <v>1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</row>
    <row r="278" spans="1:10" s="52" customFormat="1">
      <c r="A278" s="52" t="s">
        <v>201</v>
      </c>
    </row>
    <row r="281" spans="1:10">
      <c r="A281" s="1" t="s">
        <v>309</v>
      </c>
      <c r="B281" s="1">
        <f>((0+1+2+3)*0.126)/((4*0.126))</f>
        <v>1.5</v>
      </c>
    </row>
    <row r="282" spans="1:10">
      <c r="B282" s="1" t="s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EF79-61CE-478A-A0DF-1485822F85A4}">
  <dimension ref="A2:M282"/>
  <sheetViews>
    <sheetView workbookViewId="0">
      <selection activeCell="B4" sqref="B4:D15"/>
    </sheetView>
  </sheetViews>
  <sheetFormatPr defaultRowHeight="15"/>
  <cols>
    <col min="1" max="1" width="15.85546875" customWidth="1"/>
    <col min="2" max="2" width="15.42578125" customWidth="1"/>
    <col min="3" max="3" width="21" customWidth="1"/>
    <col min="4" max="4" width="21.42578125" customWidth="1"/>
    <col min="5" max="5" width="12.85546875" customWidth="1"/>
    <col min="6" max="6" width="22.140625" customWidth="1"/>
    <col min="7" max="7" width="19.5703125" customWidth="1"/>
    <col min="8" max="8" width="16.140625" customWidth="1"/>
    <col min="9" max="9" width="25.42578125" customWidth="1"/>
    <col min="10" max="10" width="23.5703125" customWidth="1"/>
    <col min="12" max="12" width="20.5703125" customWidth="1"/>
    <col min="13" max="13" width="20.85546875" customWidth="1"/>
  </cols>
  <sheetData>
    <row r="2" spans="1:13">
      <c r="A2" s="1" t="s">
        <v>56</v>
      </c>
      <c r="B2" s="45">
        <v>29</v>
      </c>
      <c r="C2" s="45">
        <v>29.75</v>
      </c>
      <c r="D2" s="45">
        <v>30.56</v>
      </c>
      <c r="E2" s="3">
        <v>68.55</v>
      </c>
      <c r="F2" s="3">
        <v>76.25</v>
      </c>
      <c r="G2" s="3">
        <v>95.5</v>
      </c>
      <c r="H2" s="46">
        <v>1010.75</v>
      </c>
      <c r="I2" s="46">
        <v>1012.75</v>
      </c>
      <c r="J2" s="46">
        <v>1013.75</v>
      </c>
      <c r="K2" s="47">
        <v>3.95</v>
      </c>
      <c r="L2" s="47">
        <v>7.3</v>
      </c>
      <c r="M2" s="47">
        <v>8.1999999999999993</v>
      </c>
    </row>
    <row r="4" spans="1:13">
      <c r="C4" s="30">
        <v>1</v>
      </c>
      <c r="D4" s="30" t="s">
        <v>313</v>
      </c>
      <c r="F4" s="30">
        <v>1</v>
      </c>
      <c r="G4" s="30" t="s">
        <v>325</v>
      </c>
      <c r="I4" s="30">
        <v>1</v>
      </c>
      <c r="J4" s="30" t="s">
        <v>337</v>
      </c>
      <c r="L4" s="30">
        <v>1</v>
      </c>
      <c r="M4" s="30" t="s">
        <v>348</v>
      </c>
    </row>
    <row r="5" spans="1:13">
      <c r="B5" s="29" t="s">
        <v>72</v>
      </c>
      <c r="C5" s="31" t="s">
        <v>314</v>
      </c>
      <c r="D5" s="30" t="s">
        <v>315</v>
      </c>
      <c r="E5" s="29" t="s">
        <v>89</v>
      </c>
      <c r="F5" s="31" t="s">
        <v>326</v>
      </c>
      <c r="G5" s="30" t="s">
        <v>327</v>
      </c>
      <c r="H5" s="29" t="s">
        <v>110</v>
      </c>
      <c r="I5" s="31" t="s">
        <v>358</v>
      </c>
      <c r="J5" s="30" t="s">
        <v>359</v>
      </c>
      <c r="K5" s="29" t="s">
        <v>134</v>
      </c>
      <c r="L5" s="31" t="s">
        <v>349</v>
      </c>
      <c r="M5" s="30" t="s">
        <v>350</v>
      </c>
    </row>
    <row r="6" spans="1:13">
      <c r="C6" s="30">
        <v>0</v>
      </c>
      <c r="D6" s="30" t="s">
        <v>316</v>
      </c>
      <c r="F6" s="30">
        <v>0</v>
      </c>
      <c r="G6" s="30" t="s">
        <v>328</v>
      </c>
      <c r="I6" s="30">
        <v>0</v>
      </c>
      <c r="J6" s="30" t="s">
        <v>338</v>
      </c>
      <c r="L6" s="30">
        <v>0</v>
      </c>
      <c r="M6" s="30" t="s">
        <v>248</v>
      </c>
    </row>
    <row r="8" spans="1:13">
      <c r="C8" s="30" t="s">
        <v>317</v>
      </c>
      <c r="D8" s="30" t="s">
        <v>318</v>
      </c>
      <c r="F8" s="30" t="s">
        <v>329</v>
      </c>
      <c r="G8" s="30" t="s">
        <v>330</v>
      </c>
      <c r="I8" s="30" t="s">
        <v>339</v>
      </c>
      <c r="J8" s="30" t="s">
        <v>340</v>
      </c>
      <c r="L8" s="30" t="s">
        <v>351</v>
      </c>
      <c r="M8" s="30" t="s">
        <v>352</v>
      </c>
    </row>
    <row r="9" spans="1:13" ht="20.25" customHeight="1">
      <c r="B9" s="29" t="s">
        <v>77</v>
      </c>
      <c r="C9" s="31" t="s">
        <v>319</v>
      </c>
      <c r="D9" s="30" t="s">
        <v>320</v>
      </c>
      <c r="E9" s="29" t="s">
        <v>90</v>
      </c>
      <c r="F9" s="31" t="s">
        <v>331</v>
      </c>
      <c r="G9" s="30" t="s">
        <v>332</v>
      </c>
      <c r="H9" s="29" t="s">
        <v>111</v>
      </c>
      <c r="I9" s="31" t="s">
        <v>341</v>
      </c>
      <c r="J9" s="30" t="s">
        <v>342</v>
      </c>
      <c r="K9" s="29" t="s">
        <v>135</v>
      </c>
      <c r="L9" s="31" t="s">
        <v>353</v>
      </c>
      <c r="M9" s="30" t="s">
        <v>354</v>
      </c>
    </row>
    <row r="10" spans="1:13">
      <c r="C10" s="30">
        <v>0</v>
      </c>
      <c r="D10" s="30" t="s">
        <v>321</v>
      </c>
      <c r="F10" s="30">
        <v>0</v>
      </c>
      <c r="G10" s="30" t="s">
        <v>333</v>
      </c>
      <c r="I10" s="30">
        <v>0</v>
      </c>
      <c r="J10" s="30" t="s">
        <v>343</v>
      </c>
      <c r="L10" s="30">
        <v>0</v>
      </c>
      <c r="M10" s="30" t="s">
        <v>355</v>
      </c>
    </row>
    <row r="13" spans="1:13">
      <c r="C13" s="30">
        <v>0</v>
      </c>
      <c r="D13" s="30" t="s">
        <v>322</v>
      </c>
      <c r="F13" s="30">
        <v>0</v>
      </c>
      <c r="G13" s="30" t="s">
        <v>334</v>
      </c>
      <c r="I13" s="30">
        <v>0</v>
      </c>
      <c r="J13" s="30" t="s">
        <v>344</v>
      </c>
      <c r="L13" s="30">
        <v>0</v>
      </c>
      <c r="M13" s="30" t="s">
        <v>249</v>
      </c>
    </row>
    <row r="14" spans="1:13">
      <c r="B14" s="29" t="s">
        <v>83</v>
      </c>
      <c r="C14" s="31" t="s">
        <v>323</v>
      </c>
      <c r="D14" s="30" t="s">
        <v>320</v>
      </c>
      <c r="E14" s="29" t="s">
        <v>91</v>
      </c>
      <c r="F14" s="31" t="s">
        <v>335</v>
      </c>
      <c r="G14" s="30" t="s">
        <v>332</v>
      </c>
      <c r="H14" s="29" t="s">
        <v>112</v>
      </c>
      <c r="I14" s="31" t="s">
        <v>345</v>
      </c>
      <c r="J14" s="30" t="s">
        <v>346</v>
      </c>
      <c r="K14" s="29" t="s">
        <v>136</v>
      </c>
      <c r="L14" s="31" t="s">
        <v>356</v>
      </c>
      <c r="M14" s="30" t="s">
        <v>354</v>
      </c>
    </row>
    <row r="15" spans="1:13">
      <c r="C15" s="30">
        <v>1</v>
      </c>
      <c r="D15" s="30" t="s">
        <v>324</v>
      </c>
      <c r="F15" s="30">
        <v>1</v>
      </c>
      <c r="G15" s="30" t="s">
        <v>336</v>
      </c>
      <c r="I15" s="30">
        <v>1</v>
      </c>
      <c r="J15" s="30" t="s">
        <v>347</v>
      </c>
      <c r="L15" s="30">
        <v>1</v>
      </c>
      <c r="M15" s="30" t="s">
        <v>357</v>
      </c>
    </row>
    <row r="18" spans="1:9" s="38" customFormat="1">
      <c r="A18" s="38" t="s">
        <v>151</v>
      </c>
    </row>
    <row r="20" spans="1:9">
      <c r="A20" s="1" t="s">
        <v>153</v>
      </c>
      <c r="B20" s="1"/>
      <c r="C20" s="2">
        <v>26.2</v>
      </c>
      <c r="D20" s="1"/>
      <c r="E20" s="2">
        <v>80</v>
      </c>
      <c r="F20" s="1"/>
      <c r="G20" s="2">
        <v>1010.8</v>
      </c>
      <c r="H20" s="1"/>
      <c r="I20" s="2">
        <v>5</v>
      </c>
    </row>
    <row r="21" spans="1:9">
      <c r="A21" s="1"/>
      <c r="B21" s="1" t="s">
        <v>72</v>
      </c>
      <c r="C21" s="1">
        <v>1</v>
      </c>
      <c r="D21" s="1" t="s">
        <v>89</v>
      </c>
      <c r="E21" s="1">
        <v>0</v>
      </c>
      <c r="F21" s="1" t="s">
        <v>110</v>
      </c>
      <c r="G21" s="1">
        <f>(1012.75-G20)/(1012.75-1010.75)</f>
        <v>0.97500000000002274</v>
      </c>
      <c r="H21" s="1" t="s">
        <v>134</v>
      </c>
      <c r="I21" s="58">
        <f>(7.3-I20)/(7.3-3.95)</f>
        <v>0.68656716417910446</v>
      </c>
    </row>
    <row r="22" spans="1:9">
      <c r="A22" s="1"/>
      <c r="B22" s="1" t="s">
        <v>77</v>
      </c>
      <c r="C22" s="1">
        <v>0</v>
      </c>
      <c r="D22" s="1" t="s">
        <v>90</v>
      </c>
      <c r="E22" s="1">
        <f>(95.5-E20)/(95.5-76.25)</f>
        <v>0.80519480519480524</v>
      </c>
      <c r="F22" s="1" t="s">
        <v>111</v>
      </c>
      <c r="G22" s="1">
        <f>(G20-1010.75)/(1012.75-1010.75)</f>
        <v>2.4999999999977263E-2</v>
      </c>
      <c r="H22" s="1" t="s">
        <v>135</v>
      </c>
      <c r="I22" s="62">
        <f>(I20-3.95)/(7.3-3.95)</f>
        <v>0.31343283582089548</v>
      </c>
    </row>
    <row r="23" spans="1:9">
      <c r="A23" s="1"/>
      <c r="B23" s="1" t="s">
        <v>83</v>
      </c>
      <c r="C23" s="1">
        <v>0</v>
      </c>
      <c r="D23" s="1" t="s">
        <v>91</v>
      </c>
      <c r="E23" s="1">
        <f>(E20-76.25)/(95.5-76.25)</f>
        <v>0.19480519480519481</v>
      </c>
      <c r="F23" s="1" t="s">
        <v>112</v>
      </c>
      <c r="G23" s="1">
        <v>0</v>
      </c>
      <c r="H23" s="1" t="s">
        <v>136</v>
      </c>
      <c r="I23" s="1">
        <v>0</v>
      </c>
    </row>
    <row r="25" spans="1:9" s="38" customFormat="1">
      <c r="A25" s="55" t="s">
        <v>154</v>
      </c>
    </row>
    <row r="27" spans="1:9">
      <c r="A27" s="1" t="s">
        <v>155</v>
      </c>
      <c r="B27" s="2" t="s">
        <v>7</v>
      </c>
      <c r="C27" s="2" t="s">
        <v>10</v>
      </c>
      <c r="D27" s="2" t="s">
        <v>13</v>
      </c>
      <c r="E27" s="2" t="s">
        <v>16</v>
      </c>
      <c r="F27" s="2" t="s">
        <v>20</v>
      </c>
    </row>
    <row r="28" spans="1:9">
      <c r="B28" s="1">
        <v>1</v>
      </c>
      <c r="C28" s="1">
        <v>0</v>
      </c>
      <c r="D28" s="1">
        <v>0.97500000000002274</v>
      </c>
      <c r="E28" s="1">
        <v>0.68656716417910446</v>
      </c>
      <c r="F28" s="1">
        <v>0</v>
      </c>
    </row>
    <row r="29" spans="1:9">
      <c r="A29" s="1" t="s">
        <v>156</v>
      </c>
      <c r="B29" s="2" t="s">
        <v>7</v>
      </c>
      <c r="C29" s="2" t="s">
        <v>10</v>
      </c>
      <c r="D29" s="2" t="s">
        <v>13</v>
      </c>
      <c r="E29" s="2" t="s">
        <v>17</v>
      </c>
      <c r="F29" s="2" t="s">
        <v>20</v>
      </c>
    </row>
    <row r="30" spans="1:9">
      <c r="A30" s="1"/>
      <c r="B30" s="1">
        <v>1</v>
      </c>
      <c r="C30" s="1">
        <v>0</v>
      </c>
      <c r="D30" s="1">
        <v>0.97500000000002274</v>
      </c>
      <c r="E30" s="1">
        <v>0.31343283582089548</v>
      </c>
      <c r="F30" s="1">
        <v>0</v>
      </c>
    </row>
    <row r="31" spans="1:9">
      <c r="A31" s="1" t="s">
        <v>157</v>
      </c>
      <c r="B31" s="2" t="s">
        <v>7</v>
      </c>
      <c r="C31" s="2" t="s">
        <v>11</v>
      </c>
      <c r="D31" s="2" t="s">
        <v>14</v>
      </c>
      <c r="E31" s="2" t="s">
        <v>16</v>
      </c>
      <c r="F31" s="2" t="s">
        <v>20</v>
      </c>
    </row>
    <row r="32" spans="1:9">
      <c r="B32" s="1">
        <v>1</v>
      </c>
      <c r="C32" s="1">
        <v>0.80519480519480524</v>
      </c>
      <c r="D32" s="1">
        <v>2.4999999999977263E-2</v>
      </c>
      <c r="E32" s="1">
        <v>0.68656716417910446</v>
      </c>
      <c r="F32" s="48">
        <v>2.5000000000000001E-2</v>
      </c>
    </row>
    <row r="33" spans="1:6">
      <c r="A33" s="1" t="s">
        <v>158</v>
      </c>
      <c r="B33" s="2" t="s">
        <v>7</v>
      </c>
      <c r="C33" s="2" t="s">
        <v>11</v>
      </c>
      <c r="D33" s="2" t="s">
        <v>14</v>
      </c>
      <c r="E33" s="2" t="s">
        <v>17</v>
      </c>
      <c r="F33" s="2" t="s">
        <v>21</v>
      </c>
    </row>
    <row r="34" spans="1:6">
      <c r="A34" s="1"/>
      <c r="B34" s="1">
        <v>1</v>
      </c>
      <c r="C34" s="1">
        <v>0.80519480519480524</v>
      </c>
      <c r="D34" s="1">
        <v>2.4999999999977263E-2</v>
      </c>
      <c r="E34" s="1">
        <v>0.31343283582089548</v>
      </c>
      <c r="F34" s="48">
        <v>2.5000000000000001E-2</v>
      </c>
    </row>
    <row r="35" spans="1:6">
      <c r="A35" s="1" t="s">
        <v>159</v>
      </c>
      <c r="B35" s="2" t="s">
        <v>7</v>
      </c>
      <c r="C35" s="2" t="s">
        <v>12</v>
      </c>
      <c r="D35" s="2" t="s">
        <v>14</v>
      </c>
      <c r="E35" s="2" t="s">
        <v>16</v>
      </c>
      <c r="F35" s="2" t="s">
        <v>19</v>
      </c>
    </row>
    <row r="36" spans="1:6">
      <c r="A36" s="1"/>
      <c r="B36" s="1">
        <v>1</v>
      </c>
      <c r="C36" s="1">
        <v>0.19480519480519481</v>
      </c>
      <c r="D36" s="1">
        <v>2.4999999999977263E-2</v>
      </c>
      <c r="E36" s="1">
        <v>0.68656716417910446</v>
      </c>
      <c r="F36" s="48">
        <v>2.5000000000000001E-2</v>
      </c>
    </row>
    <row r="37" spans="1:6">
      <c r="A37" s="1" t="s">
        <v>160</v>
      </c>
      <c r="B37" s="2" t="s">
        <v>7</v>
      </c>
      <c r="C37" s="2" t="s">
        <v>12</v>
      </c>
      <c r="D37" s="2" t="s">
        <v>15</v>
      </c>
      <c r="E37" s="2" t="s">
        <v>16</v>
      </c>
      <c r="F37" s="2" t="s">
        <v>19</v>
      </c>
    </row>
    <row r="38" spans="1:6">
      <c r="A38" s="1"/>
      <c r="B38" s="1">
        <v>1</v>
      </c>
      <c r="C38" s="1">
        <v>0.19480519480519481</v>
      </c>
      <c r="D38" s="1">
        <v>0</v>
      </c>
      <c r="E38" s="1">
        <v>0.68656716417910446</v>
      </c>
      <c r="F38" s="1">
        <v>0</v>
      </c>
    </row>
    <row r="39" spans="1:6">
      <c r="A39" s="1" t="s">
        <v>161</v>
      </c>
      <c r="B39" s="2" t="s">
        <v>8</v>
      </c>
      <c r="C39" s="2" t="s">
        <v>10</v>
      </c>
      <c r="D39" s="2" t="s">
        <v>13</v>
      </c>
      <c r="E39" s="2" t="s">
        <v>16</v>
      </c>
      <c r="F39" s="2" t="s">
        <v>20</v>
      </c>
    </row>
    <row r="40" spans="1:6">
      <c r="A40" s="1"/>
      <c r="B40" s="63">
        <v>0</v>
      </c>
      <c r="C40" s="1">
        <v>0</v>
      </c>
      <c r="D40" s="1">
        <v>0.97500000000002274</v>
      </c>
      <c r="E40" s="1">
        <v>0.68656716417910446</v>
      </c>
      <c r="F40" s="1">
        <v>0</v>
      </c>
    </row>
    <row r="41" spans="1:6">
      <c r="A41" s="1" t="s">
        <v>162</v>
      </c>
      <c r="B41" s="2" t="s">
        <v>8</v>
      </c>
      <c r="C41" s="2" t="s">
        <v>10</v>
      </c>
      <c r="D41" s="2" t="s">
        <v>14</v>
      </c>
      <c r="E41" s="2" t="s">
        <v>17</v>
      </c>
      <c r="F41" s="2" t="s">
        <v>21</v>
      </c>
    </row>
    <row r="42" spans="1:6">
      <c r="A42" s="1"/>
      <c r="B42" s="63">
        <v>0</v>
      </c>
      <c r="C42" s="1">
        <v>0</v>
      </c>
      <c r="D42" s="1">
        <v>2.4999999999977263E-2</v>
      </c>
      <c r="E42" s="1">
        <v>0.31343283582089548</v>
      </c>
      <c r="F42" s="1">
        <v>0</v>
      </c>
    </row>
    <row r="43" spans="1:6">
      <c r="A43" s="1" t="s">
        <v>163</v>
      </c>
      <c r="B43" s="2" t="s">
        <v>8</v>
      </c>
      <c r="C43" s="2" t="s">
        <v>11</v>
      </c>
      <c r="D43" s="2" t="s">
        <v>13</v>
      </c>
      <c r="E43" s="2" t="s">
        <v>17</v>
      </c>
      <c r="F43" s="2" t="s">
        <v>19</v>
      </c>
    </row>
    <row r="44" spans="1:6">
      <c r="A44" s="1"/>
      <c r="B44" s="63">
        <v>0</v>
      </c>
      <c r="C44" s="1">
        <v>0.80519480519480524</v>
      </c>
      <c r="D44" s="1">
        <v>0.97500000000002274</v>
      </c>
      <c r="E44" s="1">
        <v>0.31343283582089548</v>
      </c>
      <c r="F44" s="1">
        <v>0</v>
      </c>
    </row>
    <row r="45" spans="1:6">
      <c r="A45" s="1" t="s">
        <v>164</v>
      </c>
      <c r="B45" s="2" t="s">
        <v>8</v>
      </c>
      <c r="C45" s="2" t="s">
        <v>11</v>
      </c>
      <c r="D45" s="2" t="s">
        <v>14</v>
      </c>
      <c r="E45" s="2" t="s">
        <v>18</v>
      </c>
      <c r="F45" s="2" t="s">
        <v>21</v>
      </c>
    </row>
    <row r="46" spans="1:6">
      <c r="A46" s="1"/>
      <c r="B46" s="63">
        <v>0</v>
      </c>
      <c r="C46" s="1">
        <v>0.80519480519480524</v>
      </c>
      <c r="D46" s="1">
        <v>2.4999999999977263E-2</v>
      </c>
      <c r="E46" s="1">
        <v>0</v>
      </c>
      <c r="F46" s="1">
        <v>0</v>
      </c>
    </row>
    <row r="47" spans="1:6">
      <c r="A47" s="1" t="s">
        <v>165</v>
      </c>
      <c r="B47" s="2" t="s">
        <v>8</v>
      </c>
      <c r="C47" s="2" t="s">
        <v>12</v>
      </c>
      <c r="D47" s="2" t="s">
        <v>13</v>
      </c>
      <c r="E47" s="2" t="s">
        <v>17</v>
      </c>
      <c r="F47" s="2" t="s">
        <v>21</v>
      </c>
    </row>
    <row r="48" spans="1:6">
      <c r="A48" s="1"/>
      <c r="B48" s="63">
        <v>0</v>
      </c>
      <c r="C48" s="1">
        <v>0.19480519480519481</v>
      </c>
      <c r="D48" s="1">
        <v>0.97500000000002296</v>
      </c>
      <c r="E48" s="1">
        <v>0.31343283582089548</v>
      </c>
      <c r="F48" s="1">
        <v>0</v>
      </c>
    </row>
    <row r="49" spans="1:6">
      <c r="A49" s="1" t="s">
        <v>166</v>
      </c>
      <c r="B49" s="2" t="s">
        <v>8</v>
      </c>
      <c r="C49" s="2" t="s">
        <v>12</v>
      </c>
      <c r="D49" s="2" t="s">
        <v>15</v>
      </c>
      <c r="E49" s="2" t="s">
        <v>16</v>
      </c>
      <c r="F49" s="2" t="s">
        <v>22</v>
      </c>
    </row>
    <row r="50" spans="1:6">
      <c r="A50" s="1"/>
      <c r="B50" s="63">
        <v>0</v>
      </c>
      <c r="C50" s="1">
        <v>0.19480519480519481</v>
      </c>
      <c r="D50" s="1">
        <v>0</v>
      </c>
      <c r="E50" s="1">
        <v>0.68656716417910446</v>
      </c>
      <c r="F50" s="1">
        <v>0</v>
      </c>
    </row>
    <row r="51" spans="1:6">
      <c r="A51" s="1" t="s">
        <v>167</v>
      </c>
      <c r="B51" s="2" t="s">
        <v>9</v>
      </c>
      <c r="C51" s="2" t="s">
        <v>10</v>
      </c>
      <c r="D51" s="2" t="s">
        <v>14</v>
      </c>
      <c r="E51" s="2" t="s">
        <v>16</v>
      </c>
      <c r="F51" s="2" t="s">
        <v>19</v>
      </c>
    </row>
    <row r="52" spans="1:6">
      <c r="B52" s="63">
        <v>0</v>
      </c>
      <c r="C52" s="1">
        <v>0</v>
      </c>
      <c r="D52" s="1">
        <v>2.4999999999977263E-2</v>
      </c>
      <c r="E52" s="1">
        <v>0.68656716417910446</v>
      </c>
      <c r="F52" s="1">
        <v>0</v>
      </c>
    </row>
    <row r="53" spans="1:6">
      <c r="A53" s="1" t="s">
        <v>168</v>
      </c>
      <c r="B53" s="2" t="s">
        <v>9</v>
      </c>
      <c r="C53" s="2" t="s">
        <v>10</v>
      </c>
      <c r="D53" s="2" t="s">
        <v>15</v>
      </c>
      <c r="E53" s="2" t="s">
        <v>18</v>
      </c>
      <c r="F53" s="2" t="s">
        <v>22</v>
      </c>
    </row>
    <row r="54" spans="1:6">
      <c r="A54" s="1"/>
      <c r="B54" s="63">
        <v>0</v>
      </c>
      <c r="C54" s="1">
        <v>0</v>
      </c>
      <c r="D54" s="1">
        <v>0</v>
      </c>
      <c r="E54" s="1">
        <v>0</v>
      </c>
      <c r="F54" s="1">
        <v>0</v>
      </c>
    </row>
    <row r="55" spans="1:6">
      <c r="A55" s="1" t="s">
        <v>169</v>
      </c>
      <c r="B55" s="2" t="s">
        <v>9</v>
      </c>
      <c r="C55" s="2" t="s">
        <v>11</v>
      </c>
      <c r="D55" s="2" t="s">
        <v>13</v>
      </c>
      <c r="E55" s="2" t="s">
        <v>18</v>
      </c>
      <c r="F55" s="2" t="s">
        <v>22</v>
      </c>
    </row>
    <row r="56" spans="1:6">
      <c r="A56" s="1"/>
      <c r="B56" s="63">
        <v>0</v>
      </c>
      <c r="C56" s="1">
        <v>0.80519480519480524</v>
      </c>
      <c r="D56" s="1">
        <v>0.97500000000002274</v>
      </c>
      <c r="E56" s="1">
        <v>0</v>
      </c>
      <c r="F56" s="1">
        <v>0</v>
      </c>
    </row>
    <row r="57" spans="1:6">
      <c r="A57" s="1" t="s">
        <v>170</v>
      </c>
      <c r="B57" s="2" t="s">
        <v>9</v>
      </c>
      <c r="C57" s="2" t="s">
        <v>11</v>
      </c>
      <c r="D57" s="2" t="s">
        <v>15</v>
      </c>
      <c r="E57" s="2" t="s">
        <v>16</v>
      </c>
      <c r="F57" s="2" t="s">
        <v>22</v>
      </c>
    </row>
    <row r="58" spans="1:6">
      <c r="B58" s="63">
        <v>0</v>
      </c>
      <c r="C58" s="1">
        <v>0.80519480519480524</v>
      </c>
      <c r="D58" s="1">
        <v>0</v>
      </c>
      <c r="E58" s="1">
        <v>0.68656716417910446</v>
      </c>
      <c r="F58" s="1">
        <v>0</v>
      </c>
    </row>
    <row r="59" spans="1:6">
      <c r="A59" s="1" t="s">
        <v>171</v>
      </c>
      <c r="B59" s="2" t="s">
        <v>9</v>
      </c>
      <c r="C59" s="2" t="s">
        <v>12</v>
      </c>
      <c r="D59" s="2" t="s">
        <v>14</v>
      </c>
      <c r="E59" s="2" t="s">
        <v>17</v>
      </c>
      <c r="F59" s="2" t="s">
        <v>22</v>
      </c>
    </row>
    <row r="60" spans="1:6">
      <c r="A60" s="1"/>
      <c r="B60" s="63">
        <v>0</v>
      </c>
      <c r="C60" s="1">
        <v>0.19480519480519481</v>
      </c>
      <c r="D60" s="1">
        <v>2.4999999999977263E-2</v>
      </c>
      <c r="E60" s="1">
        <v>0.31343283582089548</v>
      </c>
      <c r="F60" s="1">
        <v>0</v>
      </c>
    </row>
    <row r="61" spans="1:6">
      <c r="A61" s="1" t="s">
        <v>172</v>
      </c>
      <c r="B61" s="2" t="s">
        <v>9</v>
      </c>
      <c r="C61" s="2" t="s">
        <v>12</v>
      </c>
      <c r="D61" s="2" t="s">
        <v>15</v>
      </c>
      <c r="E61" s="2" t="s">
        <v>18</v>
      </c>
      <c r="F61" s="2" t="s">
        <v>22</v>
      </c>
    </row>
    <row r="62" spans="1:6">
      <c r="B62" s="63">
        <v>0</v>
      </c>
      <c r="C62" s="1">
        <v>0.19480519480519481</v>
      </c>
      <c r="D62" s="1">
        <v>0</v>
      </c>
      <c r="E62" s="1">
        <v>0</v>
      </c>
      <c r="F62" s="1">
        <v>0</v>
      </c>
    </row>
    <row r="64" spans="1:6" s="39" customFormat="1">
      <c r="A64" s="55" t="s">
        <v>173</v>
      </c>
    </row>
    <row r="65" spans="1:10" s="1" customFormat="1"/>
    <row r="66" spans="1:10" s="1" customFormat="1">
      <c r="A66" s="1" t="s">
        <v>362</v>
      </c>
      <c r="B66" s="1">
        <v>2.5000000000000001E-2</v>
      </c>
    </row>
    <row r="67" spans="1:10" s="1" customFormat="1">
      <c r="A67" s="1" t="s">
        <v>360</v>
      </c>
      <c r="B67" s="1">
        <v>2.5000000000000001E-2</v>
      </c>
    </row>
    <row r="68" spans="1:10" s="1" customFormat="1">
      <c r="A68" s="1" t="s">
        <v>361</v>
      </c>
      <c r="B68" s="1">
        <v>2.5000000000000001E-2</v>
      </c>
    </row>
    <row r="70" spans="1:10">
      <c r="A70" s="2" t="s">
        <v>30</v>
      </c>
      <c r="B70" s="2" t="s">
        <v>175</v>
      </c>
      <c r="C70" s="54" t="s">
        <v>176</v>
      </c>
      <c r="D70" s="54" t="s">
        <v>177</v>
      </c>
      <c r="E70" s="54" t="s">
        <v>178</v>
      </c>
      <c r="F70" s="41" t="s">
        <v>206</v>
      </c>
      <c r="G70" s="41" t="s">
        <v>207</v>
      </c>
      <c r="H70" s="41" t="s">
        <v>208</v>
      </c>
      <c r="I70" s="41" t="s">
        <v>209</v>
      </c>
      <c r="J70" s="42" t="s">
        <v>210</v>
      </c>
    </row>
    <row r="71" spans="1:10">
      <c r="A71" s="2">
        <v>0</v>
      </c>
      <c r="B71" s="2">
        <v>1</v>
      </c>
      <c r="C71" s="54">
        <v>0</v>
      </c>
      <c r="D71" s="54">
        <v>0</v>
      </c>
      <c r="E71" s="54">
        <v>0</v>
      </c>
      <c r="F71" s="2">
        <v>0</v>
      </c>
      <c r="G71" s="65">
        <v>0</v>
      </c>
      <c r="H71" s="2">
        <v>0</v>
      </c>
      <c r="I71" s="2">
        <v>0</v>
      </c>
      <c r="J71" s="2">
        <v>0</v>
      </c>
    </row>
    <row r="72" spans="1:10">
      <c r="A72" s="2">
        <v>1</v>
      </c>
      <c r="B72" s="2">
        <v>1</v>
      </c>
      <c r="C72" s="54">
        <v>0</v>
      </c>
      <c r="D72" s="54">
        <v>0</v>
      </c>
      <c r="E72" s="54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>
      <c r="A73" s="2">
        <v>2</v>
      </c>
      <c r="B73" s="2">
        <v>1</v>
      </c>
      <c r="C73" s="54">
        <v>0</v>
      </c>
      <c r="D73" s="54">
        <v>0</v>
      </c>
      <c r="E73" s="54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</row>
    <row r="74" spans="1:10">
      <c r="A74" s="2">
        <v>3</v>
      </c>
      <c r="B74" s="2">
        <v>0.5</v>
      </c>
      <c r="C74" s="54">
        <v>0.16666666666666666</v>
      </c>
      <c r="D74" s="54">
        <v>0</v>
      </c>
      <c r="E74" s="54">
        <v>0</v>
      </c>
      <c r="F74" s="2">
        <v>0</v>
      </c>
      <c r="G74" s="2">
        <v>2.5000000000000001E-2</v>
      </c>
      <c r="H74" s="2">
        <v>0</v>
      </c>
      <c r="I74" s="2">
        <v>0</v>
      </c>
      <c r="J74" s="2">
        <v>2.5000000000000001E-2</v>
      </c>
    </row>
    <row r="75" spans="1:10">
      <c r="A75" s="2">
        <v>4</v>
      </c>
      <c r="B75" s="2">
        <v>0</v>
      </c>
      <c r="C75" s="54">
        <v>0.33333333333333331</v>
      </c>
      <c r="D75" s="54">
        <v>0</v>
      </c>
      <c r="E75" s="54">
        <v>0</v>
      </c>
      <c r="F75" s="2">
        <v>0</v>
      </c>
      <c r="G75" s="2">
        <v>2.5000000000000001E-2</v>
      </c>
      <c r="H75" s="2">
        <v>0</v>
      </c>
      <c r="I75" s="2">
        <v>0</v>
      </c>
      <c r="J75" s="2">
        <v>2.5000000000000001E-2</v>
      </c>
    </row>
    <row r="76" spans="1:10">
      <c r="A76" s="2">
        <v>5</v>
      </c>
      <c r="B76" s="2">
        <v>0</v>
      </c>
      <c r="C76" s="54">
        <v>0.5</v>
      </c>
      <c r="D76" s="54">
        <v>0</v>
      </c>
      <c r="E76" s="54">
        <v>0</v>
      </c>
      <c r="F76" s="2">
        <v>0</v>
      </c>
      <c r="G76" s="2">
        <v>2.5000000000000001E-2</v>
      </c>
      <c r="H76" s="2">
        <v>0</v>
      </c>
      <c r="I76" s="2">
        <v>0</v>
      </c>
      <c r="J76" s="2">
        <v>2.5000000000000001E-2</v>
      </c>
    </row>
    <row r="77" spans="1:10">
      <c r="A77" s="2">
        <v>6</v>
      </c>
      <c r="B77" s="2">
        <v>0</v>
      </c>
      <c r="C77" s="54">
        <v>0.66666666666666663</v>
      </c>
      <c r="D77" s="54">
        <v>0</v>
      </c>
      <c r="E77" s="54">
        <v>0</v>
      </c>
      <c r="F77" s="2">
        <v>0</v>
      </c>
      <c r="G77" s="2">
        <v>2.5000000000000001E-2</v>
      </c>
      <c r="H77" s="2">
        <v>0</v>
      </c>
      <c r="I77" s="2">
        <v>0</v>
      </c>
      <c r="J77" s="2">
        <v>2.5000000000000001E-2</v>
      </c>
    </row>
    <row r="78" spans="1:10">
      <c r="A78" s="2">
        <v>7</v>
      </c>
      <c r="B78" s="2">
        <v>0</v>
      </c>
      <c r="C78" s="54">
        <v>0.83333333333333337</v>
      </c>
      <c r="D78" s="54">
        <v>0.125</v>
      </c>
      <c r="E78" s="54">
        <v>0</v>
      </c>
      <c r="F78" s="2">
        <v>0</v>
      </c>
      <c r="G78" s="2">
        <v>2.5000000000000001E-2</v>
      </c>
      <c r="H78" s="2">
        <v>2.5000000000000001E-2</v>
      </c>
      <c r="I78" s="2">
        <v>0</v>
      </c>
      <c r="J78" s="2">
        <v>2.5000000000000001E-2</v>
      </c>
    </row>
    <row r="79" spans="1:10">
      <c r="A79" s="2">
        <v>8</v>
      </c>
      <c r="B79" s="2">
        <v>0</v>
      </c>
      <c r="C79" s="54">
        <v>1</v>
      </c>
      <c r="D79" s="54">
        <v>0.25</v>
      </c>
      <c r="E79" s="54">
        <v>0</v>
      </c>
      <c r="F79" s="2">
        <v>0</v>
      </c>
      <c r="G79" s="2">
        <v>2.5000000000000001E-2</v>
      </c>
      <c r="H79" s="2">
        <v>2.5000000000000001E-2</v>
      </c>
      <c r="I79" s="2">
        <v>0</v>
      </c>
      <c r="J79" s="2">
        <v>2.5000000000000001E-2</v>
      </c>
    </row>
    <row r="80" spans="1:10">
      <c r="A80" s="2">
        <v>9</v>
      </c>
      <c r="B80" s="2">
        <v>0</v>
      </c>
      <c r="C80" s="54">
        <v>0.83333333333333337</v>
      </c>
      <c r="D80" s="54">
        <v>0.375</v>
      </c>
      <c r="E80" s="54">
        <v>0</v>
      </c>
      <c r="F80" s="2">
        <v>0</v>
      </c>
      <c r="G80" s="2">
        <v>2.5000000000000001E-2</v>
      </c>
      <c r="H80" s="2">
        <v>2.5000000000000001E-2</v>
      </c>
      <c r="I80" s="2">
        <v>0</v>
      </c>
      <c r="J80" s="2">
        <v>2.5000000000000001E-2</v>
      </c>
    </row>
    <row r="81" spans="1:10">
      <c r="A81" s="2">
        <v>10</v>
      </c>
      <c r="B81" s="2">
        <v>0</v>
      </c>
      <c r="C81" s="54">
        <v>0.66666666666666663</v>
      </c>
      <c r="D81" s="54">
        <v>0.5</v>
      </c>
      <c r="E81" s="54">
        <v>0</v>
      </c>
      <c r="F81" s="2">
        <v>0</v>
      </c>
      <c r="G81" s="2">
        <v>2.5000000000000001E-2</v>
      </c>
      <c r="H81" s="2">
        <v>2.5000000000000001E-2</v>
      </c>
      <c r="I81" s="2">
        <v>0</v>
      </c>
      <c r="J81" s="2">
        <v>2.5000000000000001E-2</v>
      </c>
    </row>
    <row r="82" spans="1:10">
      <c r="A82" s="2">
        <v>11</v>
      </c>
      <c r="B82" s="2">
        <v>0</v>
      </c>
      <c r="C82" s="54">
        <v>0.5</v>
      </c>
      <c r="D82" s="54">
        <v>0.625</v>
      </c>
      <c r="E82" s="54">
        <v>0</v>
      </c>
      <c r="F82" s="2">
        <v>0</v>
      </c>
      <c r="G82" s="2">
        <v>2.5000000000000001E-2</v>
      </c>
      <c r="H82" s="2">
        <v>2.5000000000000001E-2</v>
      </c>
      <c r="I82" s="2">
        <v>0</v>
      </c>
      <c r="J82" s="2">
        <v>2.5000000000000001E-2</v>
      </c>
    </row>
    <row r="83" spans="1:10">
      <c r="A83" s="2">
        <v>12</v>
      </c>
      <c r="B83" s="2">
        <v>0</v>
      </c>
      <c r="C83" s="54">
        <v>0.33333333333333331</v>
      </c>
      <c r="D83" s="54">
        <v>0.75</v>
      </c>
      <c r="E83" s="54">
        <v>0</v>
      </c>
      <c r="F83" s="2">
        <v>0</v>
      </c>
      <c r="G83" s="2">
        <v>2.5000000000000001E-2</v>
      </c>
      <c r="H83" s="2">
        <v>2.5000000000000001E-2</v>
      </c>
      <c r="I83" s="2">
        <v>0</v>
      </c>
      <c r="J83" s="2">
        <v>2.5000000000000001E-2</v>
      </c>
    </row>
    <row r="84" spans="1:10">
      <c r="A84" s="2">
        <v>13</v>
      </c>
      <c r="B84" s="2">
        <v>0</v>
      </c>
      <c r="C84" s="54">
        <v>0.16666666666666666</v>
      </c>
      <c r="D84" s="54">
        <v>0.875</v>
      </c>
      <c r="E84" s="54">
        <v>0</v>
      </c>
      <c r="F84" s="2">
        <v>0</v>
      </c>
      <c r="G84" s="2">
        <v>2.5000000000000001E-2</v>
      </c>
      <c r="H84" s="2">
        <v>2.5000000000000001E-2</v>
      </c>
      <c r="I84" s="2">
        <v>0</v>
      </c>
      <c r="J84" s="2">
        <v>2.5000000000000001E-2</v>
      </c>
    </row>
    <row r="85" spans="1:10">
      <c r="A85" s="2">
        <v>14</v>
      </c>
      <c r="B85" s="2">
        <v>0</v>
      </c>
      <c r="C85" s="54">
        <v>0</v>
      </c>
      <c r="D85" s="54">
        <v>1</v>
      </c>
      <c r="E85" s="54">
        <v>0</v>
      </c>
      <c r="F85" s="2">
        <v>0</v>
      </c>
      <c r="G85" s="2">
        <v>0</v>
      </c>
      <c r="H85" s="2">
        <v>2.5000000000000001E-2</v>
      </c>
      <c r="I85" s="2">
        <v>0</v>
      </c>
      <c r="J85" s="2">
        <v>2.5000000000000001E-2</v>
      </c>
    </row>
    <row r="86" spans="1:10">
      <c r="A86" s="2">
        <v>15</v>
      </c>
      <c r="B86" s="2">
        <v>0</v>
      </c>
      <c r="C86" s="54">
        <v>0</v>
      </c>
      <c r="D86" s="54">
        <v>0.875</v>
      </c>
      <c r="E86" s="54">
        <v>0.125</v>
      </c>
      <c r="F86" s="2">
        <v>0</v>
      </c>
      <c r="G86" s="2">
        <v>0</v>
      </c>
      <c r="H86" s="2">
        <v>2.5000000000000001E-2</v>
      </c>
      <c r="I86" s="2">
        <v>2.5000000000000001E-2</v>
      </c>
      <c r="J86" s="2">
        <v>2.5000000000000001E-2</v>
      </c>
    </row>
    <row r="87" spans="1:10">
      <c r="A87" s="2">
        <v>16</v>
      </c>
      <c r="B87" s="2">
        <v>0</v>
      </c>
      <c r="C87" s="54">
        <v>0</v>
      </c>
      <c r="D87" s="54">
        <v>0.75</v>
      </c>
      <c r="E87" s="54">
        <v>0.25</v>
      </c>
      <c r="F87" s="2">
        <v>0</v>
      </c>
      <c r="G87" s="2">
        <v>0</v>
      </c>
      <c r="H87" s="2">
        <v>2.5000000000000001E-2</v>
      </c>
      <c r="I87" s="2">
        <v>2.5000000000000001E-2</v>
      </c>
      <c r="J87" s="2">
        <v>2.5000000000000001E-2</v>
      </c>
    </row>
    <row r="88" spans="1:10">
      <c r="A88" s="2">
        <v>17</v>
      </c>
      <c r="B88" s="2">
        <v>0</v>
      </c>
      <c r="C88" s="54">
        <v>0</v>
      </c>
      <c r="D88" s="54">
        <v>0.625</v>
      </c>
      <c r="E88" s="54">
        <v>0.375</v>
      </c>
      <c r="F88" s="2">
        <v>0</v>
      </c>
      <c r="G88" s="2">
        <v>0</v>
      </c>
      <c r="H88" s="2">
        <v>2.5000000000000001E-2</v>
      </c>
      <c r="I88" s="2">
        <v>2.5000000000000001E-2</v>
      </c>
      <c r="J88" s="2">
        <v>2.5000000000000001E-2</v>
      </c>
    </row>
    <row r="89" spans="1:10">
      <c r="A89" s="2">
        <v>18</v>
      </c>
      <c r="B89" s="2">
        <v>0</v>
      </c>
      <c r="C89" s="54">
        <v>0</v>
      </c>
      <c r="D89" s="54">
        <v>0.5</v>
      </c>
      <c r="E89" s="54">
        <v>0.5</v>
      </c>
      <c r="F89" s="2">
        <v>0</v>
      </c>
      <c r="G89" s="2">
        <v>0</v>
      </c>
      <c r="H89" s="2">
        <v>2.5000000000000001E-2</v>
      </c>
      <c r="I89" s="2">
        <v>2.5000000000000001E-2</v>
      </c>
      <c r="J89" s="2">
        <v>2.5000000000000001E-2</v>
      </c>
    </row>
    <row r="90" spans="1:10">
      <c r="A90" s="2">
        <v>19</v>
      </c>
      <c r="B90" s="2">
        <v>0</v>
      </c>
      <c r="C90" s="54">
        <v>0</v>
      </c>
      <c r="D90" s="54">
        <v>0.375</v>
      </c>
      <c r="E90" s="54">
        <v>0.625</v>
      </c>
      <c r="F90" s="2">
        <v>0</v>
      </c>
      <c r="G90" s="2">
        <v>0</v>
      </c>
      <c r="H90" s="2">
        <v>2.5000000000000001E-2</v>
      </c>
      <c r="I90" s="2">
        <v>2.5000000000000001E-2</v>
      </c>
      <c r="J90" s="2">
        <v>2.5000000000000001E-2</v>
      </c>
    </row>
    <row r="91" spans="1:10">
      <c r="A91" s="2">
        <v>20</v>
      </c>
      <c r="B91" s="2">
        <v>0</v>
      </c>
      <c r="C91" s="54">
        <v>0</v>
      </c>
      <c r="D91" s="54">
        <v>0.25</v>
      </c>
      <c r="E91" s="54">
        <v>0.75</v>
      </c>
      <c r="F91" s="2">
        <v>0</v>
      </c>
      <c r="G91" s="2">
        <v>0</v>
      </c>
      <c r="H91" s="2">
        <v>2.5000000000000001E-2</v>
      </c>
      <c r="I91" s="2">
        <v>2.5000000000000001E-2</v>
      </c>
      <c r="J91" s="2">
        <v>2.5000000000000001E-2</v>
      </c>
    </row>
    <row r="92" spans="1:10">
      <c r="A92" s="2">
        <v>21</v>
      </c>
      <c r="B92" s="2">
        <v>0</v>
      </c>
      <c r="C92" s="54">
        <v>0</v>
      </c>
      <c r="D92" s="54">
        <v>0.125</v>
      </c>
      <c r="E92" s="54">
        <v>0.875</v>
      </c>
      <c r="F92" s="2">
        <v>0</v>
      </c>
      <c r="G92" s="2">
        <v>0</v>
      </c>
      <c r="H92" s="2">
        <v>2.5000000000000001E-2</v>
      </c>
      <c r="I92" s="2">
        <v>2.5000000000000001E-2</v>
      </c>
      <c r="J92" s="2">
        <v>2.5000000000000001E-2</v>
      </c>
    </row>
    <row r="93" spans="1:10">
      <c r="A93" s="2">
        <v>22</v>
      </c>
      <c r="B93" s="2">
        <v>0</v>
      </c>
      <c r="C93" s="54">
        <v>0</v>
      </c>
      <c r="D93" s="54">
        <v>0</v>
      </c>
      <c r="E93" s="54">
        <v>1</v>
      </c>
      <c r="F93" s="2">
        <v>0</v>
      </c>
      <c r="G93" s="2">
        <v>0</v>
      </c>
      <c r="H93" s="2">
        <v>0</v>
      </c>
      <c r="I93" s="2">
        <v>2.5000000000000001E-2</v>
      </c>
      <c r="J93" s="2">
        <v>2.5000000000000001E-2</v>
      </c>
    </row>
    <row r="94" spans="1:10">
      <c r="A94" s="2">
        <v>23</v>
      </c>
      <c r="B94" s="2">
        <v>0</v>
      </c>
      <c r="C94" s="54">
        <v>0</v>
      </c>
      <c r="D94" s="54">
        <v>0</v>
      </c>
      <c r="E94" s="54">
        <v>1</v>
      </c>
      <c r="F94" s="2">
        <v>0</v>
      </c>
      <c r="G94" s="2">
        <v>0</v>
      </c>
      <c r="H94" s="2">
        <v>0</v>
      </c>
      <c r="I94" s="2">
        <v>2.5000000000000001E-2</v>
      </c>
      <c r="J94" s="2">
        <v>2.5000000000000001E-2</v>
      </c>
    </row>
    <row r="95" spans="1:10">
      <c r="A95" s="2">
        <v>24</v>
      </c>
      <c r="B95" s="2">
        <v>0</v>
      </c>
      <c r="C95" s="54">
        <v>0</v>
      </c>
      <c r="D95" s="54">
        <v>0</v>
      </c>
      <c r="E95" s="54">
        <v>1</v>
      </c>
      <c r="F95" s="2">
        <v>0</v>
      </c>
      <c r="G95" s="2">
        <v>0</v>
      </c>
      <c r="H95" s="2">
        <v>0</v>
      </c>
      <c r="I95" s="2">
        <v>2.5000000000000001E-2</v>
      </c>
      <c r="J95" s="2">
        <v>2.5000000000000001E-2</v>
      </c>
    </row>
    <row r="96" spans="1:10">
      <c r="A96" s="2">
        <v>25</v>
      </c>
      <c r="B96" s="2">
        <v>0</v>
      </c>
      <c r="C96" s="54">
        <v>0</v>
      </c>
      <c r="D96" s="54">
        <v>0</v>
      </c>
      <c r="E96" s="54">
        <v>1</v>
      </c>
      <c r="F96" s="2">
        <v>0</v>
      </c>
      <c r="G96" s="2">
        <v>0</v>
      </c>
      <c r="H96" s="2">
        <v>0</v>
      </c>
      <c r="I96" s="2">
        <v>2.5000000000000001E-2</v>
      </c>
      <c r="J96" s="2">
        <v>2.5000000000000001E-2</v>
      </c>
    </row>
    <row r="97" spans="1:10">
      <c r="I97" s="61"/>
      <c r="J97" s="61"/>
    </row>
    <row r="99" spans="1:10" s="38" customFormat="1">
      <c r="A99" s="38" t="s">
        <v>260</v>
      </c>
    </row>
    <row r="101" spans="1:10">
      <c r="A101" s="1" t="s">
        <v>211</v>
      </c>
      <c r="B101" s="1">
        <f>(((3+4+5+6+7+8+9+10+11+12+13+14+15+16+17+18+19+20+21+22+23+24+25)*0.025))/((23*0.025))</f>
        <v>14</v>
      </c>
    </row>
    <row r="102" spans="1:10">
      <c r="B102" s="1" t="s">
        <v>363</v>
      </c>
    </row>
    <row r="105" spans="1:10" s="49" customFormat="1">
      <c r="A105" s="49" t="s">
        <v>151</v>
      </c>
    </row>
    <row r="107" spans="1:10">
      <c r="A107" s="1" t="s">
        <v>308</v>
      </c>
      <c r="B107" s="1"/>
      <c r="C107" s="2">
        <v>26.7</v>
      </c>
      <c r="D107" s="1"/>
      <c r="E107" s="2">
        <v>82</v>
      </c>
      <c r="F107" s="1"/>
      <c r="G107" s="2">
        <v>1011.2</v>
      </c>
      <c r="H107" s="1"/>
      <c r="I107" s="2">
        <v>5</v>
      </c>
    </row>
    <row r="108" spans="1:10">
      <c r="B108" s="1" t="s">
        <v>72</v>
      </c>
      <c r="C108" s="1">
        <v>1</v>
      </c>
      <c r="D108" s="1" t="s">
        <v>89</v>
      </c>
      <c r="E108" s="1">
        <v>0</v>
      </c>
      <c r="F108" s="1" t="s">
        <v>110</v>
      </c>
      <c r="G108" s="58">
        <f>(1012.75-G107)/(1012.75-1010.75)</f>
        <v>0.77499999999997726</v>
      </c>
      <c r="H108" s="1" t="s">
        <v>134</v>
      </c>
      <c r="I108" s="58">
        <f>(7.3-I107)/(7.3-3.95)</f>
        <v>0.68656716417910446</v>
      </c>
    </row>
    <row r="109" spans="1:10">
      <c r="B109" s="1" t="s">
        <v>77</v>
      </c>
      <c r="C109" s="1">
        <v>0</v>
      </c>
      <c r="D109" s="1" t="s">
        <v>90</v>
      </c>
      <c r="E109" s="58">
        <f>(95.5-E107)/(95.5-76.25)</f>
        <v>0.70129870129870131</v>
      </c>
      <c r="F109" s="1" t="s">
        <v>111</v>
      </c>
      <c r="G109" s="62">
        <f>(G107-1010.75)/(1012.75-1010.75)</f>
        <v>0.22500000000002274</v>
      </c>
      <c r="H109" s="1" t="s">
        <v>135</v>
      </c>
      <c r="I109" s="62">
        <f>(I107-3.95)/(7.3-3.95)</f>
        <v>0.31343283582089548</v>
      </c>
    </row>
    <row r="110" spans="1:10">
      <c r="B110" s="1" t="s">
        <v>83</v>
      </c>
      <c r="C110" s="1">
        <v>0</v>
      </c>
      <c r="D110" s="1" t="s">
        <v>91</v>
      </c>
      <c r="E110" s="58">
        <f>(E107-76.25)/(95.5-76.25)</f>
        <v>0.29870129870129869</v>
      </c>
      <c r="F110" s="1" t="s">
        <v>112</v>
      </c>
      <c r="G110" s="1">
        <v>0</v>
      </c>
      <c r="H110" s="1" t="s">
        <v>136</v>
      </c>
      <c r="I110" s="1">
        <v>0</v>
      </c>
    </row>
    <row r="113" spans="1:6" s="49" customFormat="1">
      <c r="A113" s="56" t="s">
        <v>154</v>
      </c>
    </row>
    <row r="115" spans="1:6">
      <c r="A115" s="1" t="s">
        <v>155</v>
      </c>
      <c r="B115" s="2" t="s">
        <v>7</v>
      </c>
      <c r="C115" s="2" t="s">
        <v>10</v>
      </c>
      <c r="D115" s="2" t="s">
        <v>13</v>
      </c>
      <c r="E115" s="2" t="s">
        <v>16</v>
      </c>
      <c r="F115" s="2" t="s">
        <v>20</v>
      </c>
    </row>
    <row r="116" spans="1:6">
      <c r="B116" s="1">
        <v>1</v>
      </c>
      <c r="C116" s="1">
        <v>0</v>
      </c>
      <c r="D116" s="1">
        <v>0.77499999999997726</v>
      </c>
      <c r="E116" s="1">
        <v>0.68656716417910446</v>
      </c>
      <c r="F116" s="1">
        <v>0</v>
      </c>
    </row>
    <row r="117" spans="1:6">
      <c r="A117" s="1" t="s">
        <v>156</v>
      </c>
      <c r="B117" s="2" t="s">
        <v>7</v>
      </c>
      <c r="C117" s="2" t="s">
        <v>10</v>
      </c>
      <c r="D117" s="2" t="s">
        <v>13</v>
      </c>
      <c r="E117" s="2" t="s">
        <v>17</v>
      </c>
      <c r="F117" s="2" t="s">
        <v>20</v>
      </c>
    </row>
    <row r="118" spans="1:6">
      <c r="A118" s="1"/>
      <c r="B118" s="1">
        <v>1</v>
      </c>
      <c r="C118" s="1">
        <v>0</v>
      </c>
      <c r="D118" s="1">
        <v>0.77499999999997726</v>
      </c>
      <c r="E118" s="37">
        <v>0.31343283582089548</v>
      </c>
      <c r="F118" s="1">
        <v>0</v>
      </c>
    </row>
    <row r="119" spans="1:6">
      <c r="A119" s="1" t="s">
        <v>157</v>
      </c>
      <c r="B119" s="2" t="s">
        <v>7</v>
      </c>
      <c r="C119" s="2" t="s">
        <v>11</v>
      </c>
      <c r="D119" s="2" t="s">
        <v>14</v>
      </c>
      <c r="E119" s="2" t="s">
        <v>16</v>
      </c>
      <c r="F119" s="2" t="s">
        <v>20</v>
      </c>
    </row>
    <row r="120" spans="1:6">
      <c r="B120" s="1">
        <v>1</v>
      </c>
      <c r="C120" s="1">
        <v>0.70129870129870131</v>
      </c>
      <c r="D120" s="1">
        <v>0.22500000000002274</v>
      </c>
      <c r="E120" s="1">
        <v>0.68656716417910446</v>
      </c>
      <c r="F120" s="50">
        <v>0.22500000000002274</v>
      </c>
    </row>
    <row r="121" spans="1:6">
      <c r="A121" s="1" t="s">
        <v>158</v>
      </c>
      <c r="B121" s="2" t="s">
        <v>7</v>
      </c>
      <c r="C121" s="2" t="s">
        <v>11</v>
      </c>
      <c r="D121" s="2" t="s">
        <v>14</v>
      </c>
      <c r="E121" s="2" t="s">
        <v>17</v>
      </c>
      <c r="F121" s="2" t="s">
        <v>21</v>
      </c>
    </row>
    <row r="122" spans="1:6">
      <c r="A122" s="1"/>
      <c r="B122" s="1">
        <v>1</v>
      </c>
      <c r="C122" s="1">
        <v>0.70129870129870131</v>
      </c>
      <c r="D122" s="1">
        <v>0.22500000000002274</v>
      </c>
      <c r="E122" s="37">
        <v>0.31343283582089548</v>
      </c>
      <c r="F122" s="50">
        <v>0.22500000000002274</v>
      </c>
    </row>
    <row r="123" spans="1:6">
      <c r="A123" s="1" t="s">
        <v>159</v>
      </c>
      <c r="B123" s="2" t="s">
        <v>7</v>
      </c>
      <c r="C123" s="2" t="s">
        <v>12</v>
      </c>
      <c r="D123" s="2" t="s">
        <v>14</v>
      </c>
      <c r="E123" s="2" t="s">
        <v>16</v>
      </c>
      <c r="F123" s="2" t="s">
        <v>19</v>
      </c>
    </row>
    <row r="124" spans="1:6">
      <c r="A124" s="1"/>
      <c r="B124" s="1">
        <v>1</v>
      </c>
      <c r="C124" s="1">
        <v>0.29870129870129869</v>
      </c>
      <c r="D124" s="1">
        <v>0.22500000000002274</v>
      </c>
      <c r="E124" s="1">
        <v>0.68656716417910446</v>
      </c>
      <c r="F124" s="50">
        <v>0.22500000000002274</v>
      </c>
    </row>
    <row r="125" spans="1:6">
      <c r="A125" s="1" t="s">
        <v>160</v>
      </c>
      <c r="B125" s="2" t="s">
        <v>7</v>
      </c>
      <c r="C125" s="2" t="s">
        <v>12</v>
      </c>
      <c r="D125" s="2" t="s">
        <v>15</v>
      </c>
      <c r="E125" s="2" t="s">
        <v>16</v>
      </c>
      <c r="F125" s="2" t="s">
        <v>19</v>
      </c>
    </row>
    <row r="126" spans="1:6">
      <c r="A126" s="1"/>
      <c r="B126" s="1">
        <v>1</v>
      </c>
      <c r="C126" s="1">
        <v>0.29870129870129869</v>
      </c>
      <c r="D126" s="1">
        <v>0</v>
      </c>
      <c r="E126" s="1">
        <v>0.68656716417910446</v>
      </c>
      <c r="F126" s="1">
        <v>0</v>
      </c>
    </row>
    <row r="127" spans="1:6">
      <c r="A127" s="1" t="s">
        <v>161</v>
      </c>
      <c r="B127" s="2" t="s">
        <v>8</v>
      </c>
      <c r="C127" s="2" t="s">
        <v>10</v>
      </c>
      <c r="D127" s="2" t="s">
        <v>13</v>
      </c>
      <c r="E127" s="2" t="s">
        <v>16</v>
      </c>
      <c r="F127" s="2" t="s">
        <v>20</v>
      </c>
    </row>
    <row r="128" spans="1:6">
      <c r="A128" s="1"/>
      <c r="B128" s="63">
        <v>0</v>
      </c>
      <c r="C128" s="1">
        <v>0</v>
      </c>
      <c r="D128" s="1">
        <v>0.77499999999997726</v>
      </c>
      <c r="E128" s="1">
        <v>0.68656716417910446</v>
      </c>
      <c r="F128" s="1">
        <v>0</v>
      </c>
    </row>
    <row r="129" spans="1:6">
      <c r="A129" s="1" t="s">
        <v>162</v>
      </c>
      <c r="B129" s="2" t="s">
        <v>8</v>
      </c>
      <c r="C129" s="2" t="s">
        <v>10</v>
      </c>
      <c r="D129" s="2" t="s">
        <v>14</v>
      </c>
      <c r="E129" s="2" t="s">
        <v>17</v>
      </c>
      <c r="F129" s="2" t="s">
        <v>21</v>
      </c>
    </row>
    <row r="130" spans="1:6">
      <c r="A130" s="1"/>
      <c r="B130" s="63">
        <v>0</v>
      </c>
      <c r="C130" s="1">
        <v>0</v>
      </c>
      <c r="D130" s="1">
        <v>0.22500000000002274</v>
      </c>
      <c r="E130" s="37">
        <v>0.31343283582089548</v>
      </c>
      <c r="F130" s="1">
        <v>0</v>
      </c>
    </row>
    <row r="131" spans="1:6">
      <c r="A131" s="1" t="s">
        <v>163</v>
      </c>
      <c r="B131" s="2" t="s">
        <v>8</v>
      </c>
      <c r="C131" s="2" t="s">
        <v>11</v>
      </c>
      <c r="D131" s="2" t="s">
        <v>13</v>
      </c>
      <c r="E131" s="2" t="s">
        <v>17</v>
      </c>
      <c r="F131" s="2" t="s">
        <v>19</v>
      </c>
    </row>
    <row r="132" spans="1:6">
      <c r="A132" s="1"/>
      <c r="B132" s="63">
        <v>0</v>
      </c>
      <c r="C132" s="1">
        <v>0.70129870129870131</v>
      </c>
      <c r="D132" s="1">
        <v>0.77499999999997726</v>
      </c>
      <c r="E132" s="37">
        <v>0.31343283582089548</v>
      </c>
      <c r="F132" s="1">
        <v>0</v>
      </c>
    </row>
    <row r="133" spans="1:6">
      <c r="A133" s="1" t="s">
        <v>164</v>
      </c>
      <c r="B133" s="2" t="s">
        <v>8</v>
      </c>
      <c r="C133" s="2" t="s">
        <v>11</v>
      </c>
      <c r="D133" s="2" t="s">
        <v>14</v>
      </c>
      <c r="E133" s="2" t="s">
        <v>18</v>
      </c>
      <c r="F133" s="2" t="s">
        <v>21</v>
      </c>
    </row>
    <row r="134" spans="1:6">
      <c r="A134" s="1"/>
      <c r="B134" s="63">
        <v>0</v>
      </c>
      <c r="C134" s="1">
        <v>0.70129870129870131</v>
      </c>
      <c r="D134" s="1">
        <v>0.22500000000002274</v>
      </c>
      <c r="E134" s="37">
        <v>0</v>
      </c>
      <c r="F134" s="1">
        <v>0</v>
      </c>
    </row>
    <row r="135" spans="1:6">
      <c r="A135" s="1" t="s">
        <v>165</v>
      </c>
      <c r="B135" s="2" t="s">
        <v>8</v>
      </c>
      <c r="C135" s="2" t="s">
        <v>12</v>
      </c>
      <c r="D135" s="2" t="s">
        <v>13</v>
      </c>
      <c r="E135" s="2" t="s">
        <v>17</v>
      </c>
      <c r="F135" s="2" t="s">
        <v>21</v>
      </c>
    </row>
    <row r="136" spans="1:6">
      <c r="A136" s="1"/>
      <c r="B136" s="63">
        <v>0</v>
      </c>
      <c r="C136" s="1">
        <v>0.29870129870129869</v>
      </c>
      <c r="D136" s="1">
        <v>0.77499999999997726</v>
      </c>
      <c r="E136" s="37">
        <v>0.31343283582089548</v>
      </c>
      <c r="F136" s="1">
        <v>0</v>
      </c>
    </row>
    <row r="137" spans="1:6">
      <c r="A137" s="1" t="s">
        <v>166</v>
      </c>
      <c r="B137" s="2" t="s">
        <v>8</v>
      </c>
      <c r="C137" s="2" t="s">
        <v>12</v>
      </c>
      <c r="D137" s="2" t="s">
        <v>15</v>
      </c>
      <c r="E137" s="2" t="s">
        <v>16</v>
      </c>
      <c r="F137" s="2" t="s">
        <v>22</v>
      </c>
    </row>
    <row r="138" spans="1:6">
      <c r="A138" s="1"/>
      <c r="B138" s="63">
        <v>0</v>
      </c>
      <c r="C138" s="1">
        <v>0.29870129870129869</v>
      </c>
      <c r="D138" s="1">
        <v>0</v>
      </c>
      <c r="E138" s="1">
        <v>0.68656716417910446</v>
      </c>
      <c r="F138" s="1">
        <v>0</v>
      </c>
    </row>
    <row r="139" spans="1:6">
      <c r="A139" s="1" t="s">
        <v>167</v>
      </c>
      <c r="B139" s="2" t="s">
        <v>9</v>
      </c>
      <c r="C139" s="2" t="s">
        <v>10</v>
      </c>
      <c r="D139" s="2" t="s">
        <v>14</v>
      </c>
      <c r="E139" s="2" t="s">
        <v>16</v>
      </c>
      <c r="F139" s="2" t="s">
        <v>19</v>
      </c>
    </row>
    <row r="140" spans="1:6">
      <c r="B140" s="63">
        <v>0</v>
      </c>
      <c r="C140" s="1">
        <v>0</v>
      </c>
      <c r="D140" s="1">
        <v>0.22500000000002274</v>
      </c>
      <c r="E140" s="1">
        <v>0.68656716417910446</v>
      </c>
      <c r="F140" s="1">
        <v>0</v>
      </c>
    </row>
    <row r="141" spans="1:6">
      <c r="A141" s="1" t="s">
        <v>168</v>
      </c>
      <c r="B141" s="2" t="s">
        <v>9</v>
      </c>
      <c r="C141" s="2" t="s">
        <v>10</v>
      </c>
      <c r="D141" s="2" t="s">
        <v>15</v>
      </c>
      <c r="E141" s="2" t="s">
        <v>18</v>
      </c>
      <c r="F141" s="2" t="s">
        <v>22</v>
      </c>
    </row>
    <row r="142" spans="1:6">
      <c r="A142" s="1"/>
      <c r="B142" s="63">
        <v>0</v>
      </c>
      <c r="C142" s="1">
        <v>0</v>
      </c>
      <c r="D142" s="1">
        <v>0</v>
      </c>
      <c r="E142" s="37">
        <v>0</v>
      </c>
      <c r="F142" s="1">
        <v>0</v>
      </c>
    </row>
    <row r="143" spans="1:6">
      <c r="A143" s="1" t="s">
        <v>169</v>
      </c>
      <c r="B143" s="2" t="s">
        <v>9</v>
      </c>
      <c r="C143" s="2" t="s">
        <v>11</v>
      </c>
      <c r="D143" s="2" t="s">
        <v>13</v>
      </c>
      <c r="E143" s="2" t="s">
        <v>18</v>
      </c>
      <c r="F143" s="2" t="s">
        <v>22</v>
      </c>
    </row>
    <row r="144" spans="1:6">
      <c r="A144" s="1"/>
      <c r="B144" s="63">
        <v>0</v>
      </c>
      <c r="C144" s="1">
        <v>0.70129870129870131</v>
      </c>
      <c r="D144" s="1">
        <v>0.77499999999997726</v>
      </c>
      <c r="E144" s="37">
        <v>0</v>
      </c>
      <c r="F144" s="1">
        <v>0</v>
      </c>
    </row>
    <row r="145" spans="1:10">
      <c r="A145" s="1" t="s">
        <v>170</v>
      </c>
      <c r="B145" s="2" t="s">
        <v>9</v>
      </c>
      <c r="C145" s="2" t="s">
        <v>11</v>
      </c>
      <c r="D145" s="2" t="s">
        <v>15</v>
      </c>
      <c r="E145" s="2" t="s">
        <v>16</v>
      </c>
      <c r="F145" s="2" t="s">
        <v>22</v>
      </c>
    </row>
    <row r="146" spans="1:10">
      <c r="B146" s="63">
        <v>0</v>
      </c>
      <c r="C146" s="1">
        <v>0.70129870129870131</v>
      </c>
      <c r="D146" s="1">
        <v>0</v>
      </c>
      <c r="E146" s="1">
        <v>0.68656716417910446</v>
      </c>
      <c r="F146" s="1">
        <v>0</v>
      </c>
    </row>
    <row r="147" spans="1:10">
      <c r="A147" s="1" t="s">
        <v>171</v>
      </c>
      <c r="B147" s="2" t="s">
        <v>9</v>
      </c>
      <c r="C147" s="2" t="s">
        <v>12</v>
      </c>
      <c r="D147" s="2" t="s">
        <v>14</v>
      </c>
      <c r="E147" s="2" t="s">
        <v>17</v>
      </c>
      <c r="F147" s="2" t="s">
        <v>22</v>
      </c>
    </row>
    <row r="148" spans="1:10">
      <c r="A148" s="1"/>
      <c r="B148" s="63">
        <v>0</v>
      </c>
      <c r="C148" s="1">
        <v>0.29870129870129869</v>
      </c>
      <c r="D148" s="1">
        <v>0.22500000000002274</v>
      </c>
      <c r="E148" s="37">
        <v>0.31343283582089548</v>
      </c>
      <c r="F148" s="1">
        <v>0</v>
      </c>
    </row>
    <row r="149" spans="1:10">
      <c r="A149" s="1" t="s">
        <v>172</v>
      </c>
      <c r="B149" s="2" t="s">
        <v>9</v>
      </c>
      <c r="C149" s="2" t="s">
        <v>12</v>
      </c>
      <c r="D149" s="2" t="s">
        <v>15</v>
      </c>
      <c r="E149" s="2" t="s">
        <v>18</v>
      </c>
      <c r="F149" s="2" t="s">
        <v>22</v>
      </c>
    </row>
    <row r="150" spans="1:10">
      <c r="B150" s="63">
        <v>0</v>
      </c>
      <c r="C150" s="1">
        <v>0.29870129870129869</v>
      </c>
      <c r="D150" s="1">
        <v>0</v>
      </c>
      <c r="E150" s="37">
        <v>0</v>
      </c>
      <c r="F150" s="1">
        <v>0</v>
      </c>
    </row>
    <row r="153" spans="1:10" s="50" customFormat="1">
      <c r="A153" s="56" t="s">
        <v>173</v>
      </c>
    </row>
    <row r="154" spans="1:10" s="1" customFormat="1"/>
    <row r="155" spans="1:10" s="1" customFormat="1">
      <c r="A155" s="1" t="s">
        <v>362</v>
      </c>
      <c r="B155" s="1">
        <v>0.22500000000000001</v>
      </c>
    </row>
    <row r="156" spans="1:10" s="1" customFormat="1">
      <c r="A156" s="1" t="s">
        <v>360</v>
      </c>
      <c r="B156" s="1">
        <v>0.22500000000000001</v>
      </c>
    </row>
    <row r="157" spans="1:10" s="1" customFormat="1">
      <c r="A157" s="1" t="s">
        <v>361</v>
      </c>
      <c r="B157" s="1">
        <v>0.22500000000000001</v>
      </c>
    </row>
    <row r="159" spans="1:10">
      <c r="A159" s="2" t="s">
        <v>30</v>
      </c>
      <c r="B159" s="2" t="s">
        <v>175</v>
      </c>
      <c r="C159" s="54" t="s">
        <v>176</v>
      </c>
      <c r="D159" s="54" t="s">
        <v>177</v>
      </c>
      <c r="E159" s="54" t="s">
        <v>178</v>
      </c>
      <c r="F159" s="41" t="s">
        <v>206</v>
      </c>
      <c r="G159" s="41" t="s">
        <v>207</v>
      </c>
      <c r="H159" s="41" t="s">
        <v>208</v>
      </c>
      <c r="I159" s="41" t="s">
        <v>209</v>
      </c>
      <c r="J159" s="42" t="s">
        <v>210</v>
      </c>
    </row>
    <row r="160" spans="1:10">
      <c r="A160" s="2">
        <v>0</v>
      </c>
      <c r="B160" s="2">
        <v>1</v>
      </c>
      <c r="C160" s="54">
        <v>0</v>
      </c>
      <c r="D160" s="54">
        <v>0</v>
      </c>
      <c r="E160" s="54">
        <v>0</v>
      </c>
      <c r="F160" s="2">
        <v>0</v>
      </c>
      <c r="G160" s="65">
        <v>0</v>
      </c>
      <c r="H160" s="2">
        <v>0</v>
      </c>
      <c r="I160" s="2">
        <v>0</v>
      </c>
      <c r="J160" s="2">
        <v>0</v>
      </c>
    </row>
    <row r="161" spans="1:10">
      <c r="A161" s="2">
        <v>1</v>
      </c>
      <c r="B161" s="2">
        <v>1</v>
      </c>
      <c r="C161" s="54">
        <v>0</v>
      </c>
      <c r="D161" s="54">
        <v>0</v>
      </c>
      <c r="E161" s="54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>
      <c r="A162" s="2">
        <v>2</v>
      </c>
      <c r="B162" s="2">
        <v>1</v>
      </c>
      <c r="C162" s="54">
        <v>0</v>
      </c>
      <c r="D162" s="54">
        <v>0</v>
      </c>
      <c r="E162" s="54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>
      <c r="A163" s="2">
        <v>3</v>
      </c>
      <c r="B163" s="2">
        <v>0.5</v>
      </c>
      <c r="C163" s="54">
        <v>0.16666666666666666</v>
      </c>
      <c r="D163" s="54">
        <v>0</v>
      </c>
      <c r="E163" s="54">
        <v>0</v>
      </c>
      <c r="F163" s="2">
        <v>0</v>
      </c>
      <c r="G163" s="2">
        <v>0.16666666666666666</v>
      </c>
      <c r="H163" s="2">
        <v>0</v>
      </c>
      <c r="I163" s="2">
        <v>0</v>
      </c>
      <c r="J163" s="2">
        <v>0.16666666666666666</v>
      </c>
    </row>
    <row r="164" spans="1:10">
      <c r="A164" s="2">
        <v>4</v>
      </c>
      <c r="B164" s="2">
        <v>0</v>
      </c>
      <c r="C164" s="54">
        <v>0.33333333333333331</v>
      </c>
      <c r="D164" s="54">
        <v>0</v>
      </c>
      <c r="E164" s="54">
        <v>0</v>
      </c>
      <c r="F164" s="2">
        <v>0</v>
      </c>
      <c r="G164" s="2">
        <v>0.22500000000000001</v>
      </c>
      <c r="H164" s="2">
        <v>0</v>
      </c>
      <c r="I164" s="2">
        <v>0</v>
      </c>
      <c r="J164" s="2">
        <v>0.22500000000000001</v>
      </c>
    </row>
    <row r="165" spans="1:10">
      <c r="A165" s="2">
        <v>5</v>
      </c>
      <c r="B165" s="2">
        <v>0</v>
      </c>
      <c r="C165" s="54">
        <v>0.5</v>
      </c>
      <c r="D165" s="54">
        <v>0</v>
      </c>
      <c r="E165" s="54">
        <v>0</v>
      </c>
      <c r="F165" s="2">
        <v>0</v>
      </c>
      <c r="G165" s="2">
        <v>0.22500000000000001</v>
      </c>
      <c r="H165" s="2">
        <v>0</v>
      </c>
      <c r="I165" s="2">
        <v>0</v>
      </c>
      <c r="J165" s="2">
        <v>0.22500000000000001</v>
      </c>
    </row>
    <row r="166" spans="1:10">
      <c r="A166" s="2">
        <v>6</v>
      </c>
      <c r="B166" s="2">
        <v>0</v>
      </c>
      <c r="C166" s="54">
        <v>0.66666666666666663</v>
      </c>
      <c r="D166" s="54">
        <v>0</v>
      </c>
      <c r="E166" s="54">
        <v>0</v>
      </c>
      <c r="F166" s="2">
        <v>0</v>
      </c>
      <c r="G166" s="2">
        <v>0.22500000000000001</v>
      </c>
      <c r="H166" s="2">
        <v>0</v>
      </c>
      <c r="I166" s="2">
        <v>0</v>
      </c>
      <c r="J166" s="2">
        <v>0.22500000000000001</v>
      </c>
    </row>
    <row r="167" spans="1:10">
      <c r="A167" s="2">
        <v>7</v>
      </c>
      <c r="B167" s="2">
        <v>0</v>
      </c>
      <c r="C167" s="54">
        <v>0.83333333333333337</v>
      </c>
      <c r="D167" s="54">
        <v>0.125</v>
      </c>
      <c r="E167" s="54">
        <v>0</v>
      </c>
      <c r="F167" s="2">
        <v>0</v>
      </c>
      <c r="G167" s="2">
        <v>0.22500000000000001</v>
      </c>
      <c r="H167" s="2">
        <v>0.125</v>
      </c>
      <c r="I167" s="2">
        <v>0</v>
      </c>
      <c r="J167" s="2">
        <v>0.22500000000000001</v>
      </c>
    </row>
    <row r="168" spans="1:10">
      <c r="A168" s="2">
        <v>8</v>
      </c>
      <c r="B168" s="2">
        <v>0</v>
      </c>
      <c r="C168" s="54">
        <v>1</v>
      </c>
      <c r="D168" s="54">
        <v>0.25</v>
      </c>
      <c r="E168" s="54">
        <v>0</v>
      </c>
      <c r="F168" s="2">
        <v>0</v>
      </c>
      <c r="G168" s="2">
        <v>0.22500000000000001</v>
      </c>
      <c r="H168" s="2">
        <v>0.22500000000000001</v>
      </c>
      <c r="I168" s="2">
        <v>0</v>
      </c>
      <c r="J168" s="2">
        <v>0.22500000000000001</v>
      </c>
    </row>
    <row r="169" spans="1:10">
      <c r="A169" s="2">
        <v>9</v>
      </c>
      <c r="B169" s="2">
        <v>0</v>
      </c>
      <c r="C169" s="54">
        <v>0.83333333333333337</v>
      </c>
      <c r="D169" s="54">
        <v>0.375</v>
      </c>
      <c r="E169" s="54">
        <v>0</v>
      </c>
      <c r="F169" s="2">
        <v>0</v>
      </c>
      <c r="G169" s="2">
        <v>0.22500000000000001</v>
      </c>
      <c r="H169" s="2">
        <v>0.22500000000000001</v>
      </c>
      <c r="I169" s="2">
        <v>0</v>
      </c>
      <c r="J169" s="2">
        <v>0.22500000000000001</v>
      </c>
    </row>
    <row r="170" spans="1:10">
      <c r="A170" s="2">
        <v>10</v>
      </c>
      <c r="B170" s="2">
        <v>0</v>
      </c>
      <c r="C170" s="54">
        <v>0.66666666666666663</v>
      </c>
      <c r="D170" s="54">
        <v>0.5</v>
      </c>
      <c r="E170" s="54">
        <v>0</v>
      </c>
      <c r="F170" s="2">
        <v>0</v>
      </c>
      <c r="G170" s="2">
        <v>0.22500000000000001</v>
      </c>
      <c r="H170" s="2">
        <v>0.22500000000000001</v>
      </c>
      <c r="I170" s="2">
        <v>0</v>
      </c>
      <c r="J170" s="2">
        <v>0.22500000000000001</v>
      </c>
    </row>
    <row r="171" spans="1:10">
      <c r="A171" s="2">
        <v>11</v>
      </c>
      <c r="B171" s="2">
        <v>0</v>
      </c>
      <c r="C171" s="54">
        <v>0.5</v>
      </c>
      <c r="D171" s="54">
        <v>0.625</v>
      </c>
      <c r="E171" s="54">
        <v>0</v>
      </c>
      <c r="F171" s="2">
        <v>0</v>
      </c>
      <c r="G171" s="2">
        <v>0.22500000000000001</v>
      </c>
      <c r="H171" s="2">
        <v>0.22500000000000001</v>
      </c>
      <c r="I171" s="2">
        <v>0</v>
      </c>
      <c r="J171" s="2">
        <v>0.22500000000000001</v>
      </c>
    </row>
    <row r="172" spans="1:10">
      <c r="A172" s="2">
        <v>12</v>
      </c>
      <c r="B172" s="2">
        <v>0</v>
      </c>
      <c r="C172" s="54">
        <v>0.33333333333333331</v>
      </c>
      <c r="D172" s="54">
        <v>0.75</v>
      </c>
      <c r="E172" s="54">
        <v>0</v>
      </c>
      <c r="F172" s="2">
        <v>0</v>
      </c>
      <c r="G172" s="2">
        <v>0.22500000000000001</v>
      </c>
      <c r="H172" s="2">
        <v>0.22500000000000001</v>
      </c>
      <c r="I172" s="2">
        <v>0</v>
      </c>
      <c r="J172" s="2">
        <v>0.22500000000000001</v>
      </c>
    </row>
    <row r="173" spans="1:10">
      <c r="A173" s="2">
        <v>13</v>
      </c>
      <c r="B173" s="2">
        <v>0</v>
      </c>
      <c r="C173" s="54">
        <v>0.16666666666666666</v>
      </c>
      <c r="D173" s="54">
        <v>0.875</v>
      </c>
      <c r="E173" s="54">
        <v>0</v>
      </c>
      <c r="F173" s="2">
        <v>0</v>
      </c>
      <c r="G173" s="2">
        <v>0.16666666666666666</v>
      </c>
      <c r="H173" s="2">
        <v>0.22500000000000001</v>
      </c>
      <c r="I173" s="2">
        <v>0</v>
      </c>
      <c r="J173" s="2">
        <v>0.22500000000000001</v>
      </c>
    </row>
    <row r="174" spans="1:10">
      <c r="A174" s="2">
        <v>14</v>
      </c>
      <c r="B174" s="2">
        <v>0</v>
      </c>
      <c r="C174" s="54">
        <v>0</v>
      </c>
      <c r="D174" s="54">
        <v>1</v>
      </c>
      <c r="E174" s="54">
        <v>0</v>
      </c>
      <c r="F174" s="2">
        <v>0</v>
      </c>
      <c r="G174" s="2">
        <v>0</v>
      </c>
      <c r="H174" s="2">
        <v>0.22500000000000001</v>
      </c>
      <c r="I174" s="2">
        <v>0</v>
      </c>
      <c r="J174" s="2">
        <v>0.22500000000000001</v>
      </c>
    </row>
    <row r="175" spans="1:10">
      <c r="A175" s="2">
        <v>15</v>
      </c>
      <c r="B175" s="2">
        <v>0</v>
      </c>
      <c r="C175" s="54">
        <v>0</v>
      </c>
      <c r="D175" s="54">
        <v>0.875</v>
      </c>
      <c r="E175" s="54">
        <v>0.125</v>
      </c>
      <c r="F175" s="2">
        <v>0</v>
      </c>
      <c r="G175" s="2">
        <v>0</v>
      </c>
      <c r="H175" s="2">
        <v>0.22500000000000001</v>
      </c>
      <c r="I175" s="2">
        <v>0.125</v>
      </c>
      <c r="J175" s="2">
        <v>0.22500000000000001</v>
      </c>
    </row>
    <row r="176" spans="1:10">
      <c r="A176" s="2">
        <v>16</v>
      </c>
      <c r="B176" s="2">
        <v>0</v>
      </c>
      <c r="C176" s="54">
        <v>0</v>
      </c>
      <c r="D176" s="54">
        <v>0.75</v>
      </c>
      <c r="E176" s="54">
        <v>0.25</v>
      </c>
      <c r="F176" s="2">
        <v>0</v>
      </c>
      <c r="G176" s="2">
        <v>0</v>
      </c>
      <c r="H176" s="2">
        <v>0.22500000000000001</v>
      </c>
      <c r="I176" s="2">
        <v>0.22500000000000001</v>
      </c>
      <c r="J176" s="2">
        <v>0.22500000000000001</v>
      </c>
    </row>
    <row r="177" spans="1:10">
      <c r="A177" s="2">
        <v>17</v>
      </c>
      <c r="B177" s="2">
        <v>0</v>
      </c>
      <c r="C177" s="54">
        <v>0</v>
      </c>
      <c r="D177" s="54">
        <v>0.625</v>
      </c>
      <c r="E177" s="54">
        <v>0.375</v>
      </c>
      <c r="F177" s="2">
        <v>0</v>
      </c>
      <c r="G177" s="2">
        <v>0</v>
      </c>
      <c r="H177" s="2">
        <v>0.22500000000000001</v>
      </c>
      <c r="I177" s="2">
        <v>0.22500000000000001</v>
      </c>
      <c r="J177" s="2">
        <v>0.22500000000000001</v>
      </c>
    </row>
    <row r="178" spans="1:10">
      <c r="A178" s="2">
        <v>18</v>
      </c>
      <c r="B178" s="2">
        <v>0</v>
      </c>
      <c r="C178" s="54">
        <v>0</v>
      </c>
      <c r="D178" s="54">
        <v>0.5</v>
      </c>
      <c r="E178" s="54">
        <v>0.5</v>
      </c>
      <c r="F178" s="2">
        <v>0</v>
      </c>
      <c r="G178" s="2">
        <v>0</v>
      </c>
      <c r="H178" s="2">
        <v>0.22500000000000001</v>
      </c>
      <c r="I178" s="2">
        <v>0.22500000000000001</v>
      </c>
      <c r="J178" s="2">
        <v>0.22500000000000001</v>
      </c>
    </row>
    <row r="179" spans="1:10">
      <c r="A179" s="2">
        <v>19</v>
      </c>
      <c r="B179" s="2">
        <v>0</v>
      </c>
      <c r="C179" s="54">
        <v>0</v>
      </c>
      <c r="D179" s="54">
        <v>0.375</v>
      </c>
      <c r="E179" s="54">
        <v>0.625</v>
      </c>
      <c r="F179" s="2">
        <v>0</v>
      </c>
      <c r="G179" s="2">
        <v>0</v>
      </c>
      <c r="H179" s="2">
        <v>0.22500000000000001</v>
      </c>
      <c r="I179" s="2">
        <v>0.22500000000000001</v>
      </c>
      <c r="J179" s="2">
        <v>0.22500000000000001</v>
      </c>
    </row>
    <row r="180" spans="1:10">
      <c r="A180" s="2">
        <v>20</v>
      </c>
      <c r="B180" s="2">
        <v>0</v>
      </c>
      <c r="C180" s="54">
        <v>0</v>
      </c>
      <c r="D180" s="54">
        <v>0.25</v>
      </c>
      <c r="E180" s="54">
        <v>0.75</v>
      </c>
      <c r="F180" s="2">
        <v>0</v>
      </c>
      <c r="G180" s="2">
        <v>0</v>
      </c>
      <c r="H180" s="2">
        <v>0.22500000000000001</v>
      </c>
      <c r="I180" s="2">
        <v>0.22500000000000001</v>
      </c>
      <c r="J180" s="2">
        <v>0.22500000000000001</v>
      </c>
    </row>
    <row r="181" spans="1:10">
      <c r="A181" s="2">
        <v>21</v>
      </c>
      <c r="B181" s="2">
        <v>0</v>
      </c>
      <c r="C181" s="54">
        <v>0</v>
      </c>
      <c r="D181" s="54">
        <v>0.125</v>
      </c>
      <c r="E181" s="54">
        <v>0.875</v>
      </c>
      <c r="F181" s="2">
        <v>0</v>
      </c>
      <c r="G181" s="2">
        <v>0</v>
      </c>
      <c r="H181" s="2">
        <v>0.125</v>
      </c>
      <c r="I181" s="2">
        <v>0.22500000000000001</v>
      </c>
      <c r="J181" s="2">
        <v>0.22500000000000001</v>
      </c>
    </row>
    <row r="182" spans="1:10">
      <c r="A182" s="2">
        <v>22</v>
      </c>
      <c r="B182" s="2">
        <v>0</v>
      </c>
      <c r="C182" s="54">
        <v>0</v>
      </c>
      <c r="D182" s="54">
        <v>0</v>
      </c>
      <c r="E182" s="54">
        <v>1</v>
      </c>
      <c r="F182" s="2">
        <v>0</v>
      </c>
      <c r="G182" s="2">
        <v>0</v>
      </c>
      <c r="H182" s="2">
        <v>0</v>
      </c>
      <c r="I182" s="2">
        <v>0.22500000000000001</v>
      </c>
      <c r="J182" s="2">
        <v>0.22500000000000001</v>
      </c>
    </row>
    <row r="183" spans="1:10">
      <c r="A183" s="2">
        <v>23</v>
      </c>
      <c r="B183" s="2">
        <v>0</v>
      </c>
      <c r="C183" s="54">
        <v>0</v>
      </c>
      <c r="D183" s="54">
        <v>0</v>
      </c>
      <c r="E183" s="54">
        <v>1</v>
      </c>
      <c r="F183" s="2">
        <v>0</v>
      </c>
      <c r="G183" s="2">
        <v>0</v>
      </c>
      <c r="H183" s="2">
        <v>0</v>
      </c>
      <c r="I183" s="2">
        <v>0.22500000000000001</v>
      </c>
      <c r="J183" s="2">
        <v>0.22500000000000001</v>
      </c>
    </row>
    <row r="184" spans="1:10">
      <c r="A184" s="2">
        <v>24</v>
      </c>
      <c r="B184" s="2">
        <v>0</v>
      </c>
      <c r="C184" s="54">
        <v>0</v>
      </c>
      <c r="D184" s="54">
        <v>0</v>
      </c>
      <c r="E184" s="54">
        <v>1</v>
      </c>
      <c r="F184" s="2">
        <v>0</v>
      </c>
      <c r="G184" s="2">
        <v>0</v>
      </c>
      <c r="H184" s="2">
        <v>0</v>
      </c>
      <c r="I184" s="2">
        <v>0.22500000000000001</v>
      </c>
      <c r="J184" s="2">
        <v>0.22500000000000001</v>
      </c>
    </row>
    <row r="185" spans="1:10">
      <c r="A185" s="2">
        <v>25</v>
      </c>
      <c r="B185" s="2">
        <v>0</v>
      </c>
      <c r="C185" s="54">
        <v>0</v>
      </c>
      <c r="D185" s="54">
        <v>0</v>
      </c>
      <c r="E185" s="54">
        <v>1</v>
      </c>
      <c r="F185" s="2">
        <v>0</v>
      </c>
      <c r="G185" s="2">
        <v>0</v>
      </c>
      <c r="H185" s="2">
        <v>0</v>
      </c>
      <c r="I185" s="2">
        <v>0.22500000000000001</v>
      </c>
      <c r="J185" s="2">
        <v>0.22500000000000001</v>
      </c>
    </row>
    <row r="188" spans="1:10" s="49" customFormat="1">
      <c r="A188" s="49" t="s">
        <v>201</v>
      </c>
    </row>
    <row r="191" spans="1:10">
      <c r="A191" s="1" t="s">
        <v>211</v>
      </c>
      <c r="B191" s="1">
        <f>((3*0.16666667)+((4+5+6+7+8+9+10+11+12+13+14+15+16+17+18+19+20+21+22+23+24+25)*0.225))/((22*0.225)+(0.16666667))</f>
        <v>14.125407158875957</v>
      </c>
    </row>
    <row r="192" spans="1:10">
      <c r="B192" s="1" t="s">
        <v>363</v>
      </c>
    </row>
    <row r="195" spans="1:9" s="52" customFormat="1">
      <c r="A195" s="52" t="s">
        <v>151</v>
      </c>
    </row>
    <row r="197" spans="1:9">
      <c r="A197" s="1" t="s">
        <v>310</v>
      </c>
      <c r="B197" s="1"/>
      <c r="C197" s="2">
        <v>26.9</v>
      </c>
      <c r="D197" s="1"/>
      <c r="E197" s="2">
        <v>83</v>
      </c>
      <c r="F197" s="1"/>
      <c r="G197" s="2">
        <v>1010.2</v>
      </c>
      <c r="H197" s="1"/>
      <c r="I197" s="2">
        <v>4</v>
      </c>
    </row>
    <row r="198" spans="1:9">
      <c r="B198" s="1" t="s">
        <v>72</v>
      </c>
      <c r="C198" s="1">
        <v>1</v>
      </c>
      <c r="D198" s="1" t="s">
        <v>89</v>
      </c>
      <c r="E198" s="58">
        <f>(95.5-E197)/(95.5-76.25)</f>
        <v>0.64935064935064934</v>
      </c>
      <c r="F198" s="1" t="s">
        <v>110</v>
      </c>
      <c r="G198" s="1">
        <v>1</v>
      </c>
      <c r="H198" s="1" t="s">
        <v>134</v>
      </c>
      <c r="I198" s="58">
        <f>(7.3-I197)/(7.3-3.95)</f>
        <v>0.98507462686567171</v>
      </c>
    </row>
    <row r="199" spans="1:9">
      <c r="B199" s="1" t="s">
        <v>77</v>
      </c>
      <c r="C199" s="1">
        <v>0</v>
      </c>
      <c r="D199" s="1" t="s">
        <v>90</v>
      </c>
      <c r="E199" s="58">
        <f>(E197-76.25)/(95.5-76.25)</f>
        <v>0.35064935064935066</v>
      </c>
      <c r="F199" s="1" t="s">
        <v>111</v>
      </c>
      <c r="G199" s="58">
        <v>0</v>
      </c>
      <c r="H199" s="1" t="s">
        <v>135</v>
      </c>
      <c r="I199" s="62">
        <f>(I197-3.95)/(7.3-3.95)</f>
        <v>1.4925373134328308E-2</v>
      </c>
    </row>
    <row r="200" spans="1:9">
      <c r="B200" s="1" t="s">
        <v>83</v>
      </c>
      <c r="C200" s="1">
        <v>0</v>
      </c>
      <c r="D200" s="1" t="s">
        <v>91</v>
      </c>
      <c r="E200" s="1">
        <v>0</v>
      </c>
      <c r="F200" s="1" t="s">
        <v>112</v>
      </c>
      <c r="G200" s="58">
        <v>0</v>
      </c>
      <c r="H200" s="1" t="s">
        <v>136</v>
      </c>
      <c r="I200" s="1">
        <v>0</v>
      </c>
    </row>
    <row r="203" spans="1:9" s="52" customFormat="1">
      <c r="A203" s="57" t="s">
        <v>154</v>
      </c>
    </row>
    <row r="205" spans="1:9">
      <c r="A205" s="1" t="s">
        <v>155</v>
      </c>
      <c r="B205" s="2" t="s">
        <v>7</v>
      </c>
      <c r="C205" s="2" t="s">
        <v>10</v>
      </c>
      <c r="D205" s="2" t="s">
        <v>13</v>
      </c>
      <c r="E205" s="2" t="s">
        <v>16</v>
      </c>
      <c r="F205" s="2" t="s">
        <v>20</v>
      </c>
    </row>
    <row r="206" spans="1:9">
      <c r="B206" s="1">
        <v>1</v>
      </c>
      <c r="C206" s="1">
        <v>0.64935064935064934</v>
      </c>
      <c r="D206" s="1">
        <v>1</v>
      </c>
      <c r="E206" s="1">
        <v>0.98507462686567171</v>
      </c>
      <c r="F206" s="51">
        <v>0.64935064935064934</v>
      </c>
    </row>
    <row r="207" spans="1:9">
      <c r="A207" s="1" t="s">
        <v>156</v>
      </c>
      <c r="B207" s="2" t="s">
        <v>7</v>
      </c>
      <c r="C207" s="2" t="s">
        <v>10</v>
      </c>
      <c r="D207" s="2" t="s">
        <v>13</v>
      </c>
      <c r="E207" s="2" t="s">
        <v>17</v>
      </c>
      <c r="F207" s="2" t="s">
        <v>20</v>
      </c>
    </row>
    <row r="208" spans="1:9">
      <c r="A208" s="1"/>
      <c r="B208" s="1">
        <v>1</v>
      </c>
      <c r="C208" s="1">
        <v>0.64935064935064934</v>
      </c>
      <c r="D208" s="1">
        <v>1</v>
      </c>
      <c r="E208" s="1">
        <v>1.4925373134328308E-2</v>
      </c>
      <c r="F208" s="51">
        <v>1.4925373134328308E-2</v>
      </c>
    </row>
    <row r="209" spans="1:6">
      <c r="A209" s="1" t="s">
        <v>157</v>
      </c>
      <c r="B209" s="2" t="s">
        <v>7</v>
      </c>
      <c r="C209" s="2" t="s">
        <v>11</v>
      </c>
      <c r="D209" s="2" t="s">
        <v>14</v>
      </c>
      <c r="E209" s="2" t="s">
        <v>16</v>
      </c>
      <c r="F209" s="2" t="s">
        <v>20</v>
      </c>
    </row>
    <row r="210" spans="1:6">
      <c r="B210" s="1">
        <v>1</v>
      </c>
      <c r="C210" s="1">
        <v>0.35064935064935066</v>
      </c>
      <c r="D210" s="1">
        <v>0</v>
      </c>
      <c r="E210" s="1">
        <v>0.98507462686567171</v>
      </c>
      <c r="F210" s="1">
        <v>0</v>
      </c>
    </row>
    <row r="211" spans="1:6">
      <c r="A211" s="1" t="s">
        <v>158</v>
      </c>
      <c r="B211" s="2" t="s">
        <v>7</v>
      </c>
      <c r="C211" s="2" t="s">
        <v>11</v>
      </c>
      <c r="D211" s="2" t="s">
        <v>14</v>
      </c>
      <c r="E211" s="2" t="s">
        <v>17</v>
      </c>
      <c r="F211" s="2" t="s">
        <v>21</v>
      </c>
    </row>
    <row r="212" spans="1:6">
      <c r="A212" s="1"/>
      <c r="B212" s="1">
        <v>1</v>
      </c>
      <c r="C212" s="1">
        <v>0.35064935064935066</v>
      </c>
      <c r="D212" s="1">
        <v>0</v>
      </c>
      <c r="E212" s="1">
        <v>1.4925373134328308E-2</v>
      </c>
      <c r="F212" s="1">
        <v>0</v>
      </c>
    </row>
    <row r="213" spans="1:6">
      <c r="A213" s="1" t="s">
        <v>159</v>
      </c>
      <c r="B213" s="2" t="s">
        <v>7</v>
      </c>
      <c r="C213" s="2" t="s">
        <v>12</v>
      </c>
      <c r="D213" s="2" t="s">
        <v>14</v>
      </c>
      <c r="E213" s="2" t="s">
        <v>16</v>
      </c>
      <c r="F213" s="2" t="s">
        <v>19</v>
      </c>
    </row>
    <row r="214" spans="1:6">
      <c r="A214" s="1"/>
      <c r="B214" s="1">
        <v>1</v>
      </c>
      <c r="C214" s="1">
        <v>0</v>
      </c>
      <c r="D214" s="1">
        <v>0</v>
      </c>
      <c r="E214" s="1">
        <v>0.98507462686567171</v>
      </c>
      <c r="F214" s="1">
        <v>0</v>
      </c>
    </row>
    <row r="215" spans="1:6">
      <c r="A215" s="1" t="s">
        <v>160</v>
      </c>
      <c r="B215" s="2" t="s">
        <v>7</v>
      </c>
      <c r="C215" s="2" t="s">
        <v>12</v>
      </c>
      <c r="D215" s="2" t="s">
        <v>15</v>
      </c>
      <c r="E215" s="2" t="s">
        <v>16</v>
      </c>
      <c r="F215" s="2" t="s">
        <v>19</v>
      </c>
    </row>
    <row r="216" spans="1:6">
      <c r="A216" s="1"/>
      <c r="B216" s="1">
        <v>1</v>
      </c>
      <c r="C216" s="1">
        <v>0</v>
      </c>
      <c r="D216" s="58">
        <v>0</v>
      </c>
      <c r="E216" s="1">
        <v>0.98507462686567171</v>
      </c>
      <c r="F216" s="1">
        <v>0</v>
      </c>
    </row>
    <row r="217" spans="1:6">
      <c r="A217" s="1" t="s">
        <v>161</v>
      </c>
      <c r="B217" s="2" t="s">
        <v>8</v>
      </c>
      <c r="C217" s="2" t="s">
        <v>10</v>
      </c>
      <c r="D217" s="2" t="s">
        <v>13</v>
      </c>
      <c r="E217" s="2" t="s">
        <v>16</v>
      </c>
      <c r="F217" s="2" t="s">
        <v>20</v>
      </c>
    </row>
    <row r="218" spans="1:6">
      <c r="A218" s="1"/>
      <c r="B218" s="63">
        <v>0</v>
      </c>
      <c r="C218" s="1">
        <v>0.64935064935064934</v>
      </c>
      <c r="D218" s="1">
        <v>1</v>
      </c>
      <c r="E218" s="1">
        <v>0.98507462686567171</v>
      </c>
      <c r="F218" s="1">
        <v>0</v>
      </c>
    </row>
    <row r="219" spans="1:6">
      <c r="A219" s="1" t="s">
        <v>162</v>
      </c>
      <c r="B219" s="2" t="s">
        <v>8</v>
      </c>
      <c r="C219" s="2" t="s">
        <v>10</v>
      </c>
      <c r="D219" s="2" t="s">
        <v>14</v>
      </c>
      <c r="E219" s="2" t="s">
        <v>17</v>
      </c>
      <c r="F219" s="2" t="s">
        <v>21</v>
      </c>
    </row>
    <row r="220" spans="1:6">
      <c r="A220" s="1"/>
      <c r="B220" s="63">
        <v>0</v>
      </c>
      <c r="C220" s="1">
        <v>0.64935064935064934</v>
      </c>
      <c r="D220" s="1">
        <v>0</v>
      </c>
      <c r="E220" s="1">
        <v>1.4925373134328308E-2</v>
      </c>
      <c r="F220" s="1">
        <v>0</v>
      </c>
    </row>
    <row r="221" spans="1:6">
      <c r="A221" s="1" t="s">
        <v>163</v>
      </c>
      <c r="B221" s="2" t="s">
        <v>8</v>
      </c>
      <c r="C221" s="2" t="s">
        <v>11</v>
      </c>
      <c r="D221" s="2" t="s">
        <v>13</v>
      </c>
      <c r="E221" s="2" t="s">
        <v>17</v>
      </c>
      <c r="F221" s="2" t="s">
        <v>19</v>
      </c>
    </row>
    <row r="222" spans="1:6">
      <c r="A222" s="1"/>
      <c r="B222" s="63">
        <v>0</v>
      </c>
      <c r="C222" s="1">
        <v>0.35064935064935066</v>
      </c>
      <c r="D222" s="1">
        <v>1</v>
      </c>
      <c r="E222" s="1">
        <v>1.4925373134328308E-2</v>
      </c>
      <c r="F222" s="1">
        <v>0</v>
      </c>
    </row>
    <row r="223" spans="1:6">
      <c r="A223" s="1" t="s">
        <v>164</v>
      </c>
      <c r="B223" s="2" t="s">
        <v>8</v>
      </c>
      <c r="C223" s="2" t="s">
        <v>11</v>
      </c>
      <c r="D223" s="2" t="s">
        <v>14</v>
      </c>
      <c r="E223" s="2" t="s">
        <v>18</v>
      </c>
      <c r="F223" s="2" t="s">
        <v>21</v>
      </c>
    </row>
    <row r="224" spans="1:6">
      <c r="A224" s="1"/>
      <c r="B224" s="63">
        <v>0</v>
      </c>
      <c r="C224" s="1">
        <v>0.35064935064935066</v>
      </c>
      <c r="D224" s="1">
        <v>0</v>
      </c>
      <c r="E224" s="1">
        <v>0</v>
      </c>
      <c r="F224" s="1">
        <v>0</v>
      </c>
    </row>
    <row r="225" spans="1:6">
      <c r="A225" s="1" t="s">
        <v>165</v>
      </c>
      <c r="B225" s="2" t="s">
        <v>8</v>
      </c>
      <c r="C225" s="2" t="s">
        <v>12</v>
      </c>
      <c r="D225" s="2" t="s">
        <v>13</v>
      </c>
      <c r="E225" s="2" t="s">
        <v>17</v>
      </c>
      <c r="F225" s="2" t="s">
        <v>21</v>
      </c>
    </row>
    <row r="226" spans="1:6">
      <c r="A226" s="1"/>
      <c r="B226" s="63">
        <v>0</v>
      </c>
      <c r="C226" s="1">
        <v>0</v>
      </c>
      <c r="D226" s="1">
        <v>1</v>
      </c>
      <c r="E226" s="1">
        <v>1.4925373134328308E-2</v>
      </c>
      <c r="F226" s="1">
        <v>0</v>
      </c>
    </row>
    <row r="227" spans="1:6">
      <c r="A227" s="1" t="s">
        <v>166</v>
      </c>
      <c r="B227" s="2" t="s">
        <v>8</v>
      </c>
      <c r="C227" s="2" t="s">
        <v>12</v>
      </c>
      <c r="D227" s="2" t="s">
        <v>15</v>
      </c>
      <c r="E227" s="2" t="s">
        <v>16</v>
      </c>
      <c r="F227" s="2" t="s">
        <v>22</v>
      </c>
    </row>
    <row r="228" spans="1:6">
      <c r="A228" s="1"/>
      <c r="B228" s="63">
        <v>0</v>
      </c>
      <c r="C228" s="1">
        <v>0</v>
      </c>
      <c r="D228" s="58">
        <v>0</v>
      </c>
      <c r="E228" s="1">
        <v>0.98507462686567171</v>
      </c>
      <c r="F228" s="1">
        <v>0</v>
      </c>
    </row>
    <row r="229" spans="1:6">
      <c r="A229" s="1" t="s">
        <v>167</v>
      </c>
      <c r="B229" s="2" t="s">
        <v>9</v>
      </c>
      <c r="C229" s="2" t="s">
        <v>10</v>
      </c>
      <c r="D229" s="2" t="s">
        <v>14</v>
      </c>
      <c r="E229" s="2" t="s">
        <v>16</v>
      </c>
      <c r="F229" s="2" t="s">
        <v>19</v>
      </c>
    </row>
    <row r="230" spans="1:6">
      <c r="B230" s="63">
        <v>0</v>
      </c>
      <c r="C230" s="1">
        <v>0.64935064935064934</v>
      </c>
      <c r="D230" s="1">
        <v>0</v>
      </c>
      <c r="E230" s="1">
        <v>0.98507462686567171</v>
      </c>
      <c r="F230" s="1">
        <v>0</v>
      </c>
    </row>
    <row r="231" spans="1:6">
      <c r="A231" s="1" t="s">
        <v>168</v>
      </c>
      <c r="B231" s="2" t="s">
        <v>9</v>
      </c>
      <c r="C231" s="2" t="s">
        <v>10</v>
      </c>
      <c r="D231" s="2" t="s">
        <v>15</v>
      </c>
      <c r="E231" s="2" t="s">
        <v>18</v>
      </c>
      <c r="F231" s="2" t="s">
        <v>22</v>
      </c>
    </row>
    <row r="232" spans="1:6">
      <c r="A232" s="1"/>
      <c r="B232" s="63">
        <v>0</v>
      </c>
      <c r="C232" s="1">
        <v>0.64935064935064934</v>
      </c>
      <c r="D232" s="58">
        <v>0</v>
      </c>
      <c r="E232" s="1">
        <v>0</v>
      </c>
      <c r="F232" s="1">
        <v>0</v>
      </c>
    </row>
    <row r="233" spans="1:6">
      <c r="A233" s="1" t="s">
        <v>169</v>
      </c>
      <c r="B233" s="2" t="s">
        <v>9</v>
      </c>
      <c r="C233" s="2" t="s">
        <v>11</v>
      </c>
      <c r="D233" s="2" t="s">
        <v>13</v>
      </c>
      <c r="E233" s="2" t="s">
        <v>18</v>
      </c>
      <c r="F233" s="2" t="s">
        <v>22</v>
      </c>
    </row>
    <row r="234" spans="1:6">
      <c r="A234" s="1"/>
      <c r="B234" s="63">
        <v>0</v>
      </c>
      <c r="C234" s="1">
        <v>0.35064935064935066</v>
      </c>
      <c r="D234" s="1">
        <v>1</v>
      </c>
      <c r="E234" s="1">
        <v>0</v>
      </c>
      <c r="F234" s="1">
        <v>0</v>
      </c>
    </row>
    <row r="235" spans="1:6">
      <c r="A235" s="1" t="s">
        <v>170</v>
      </c>
      <c r="B235" s="2" t="s">
        <v>9</v>
      </c>
      <c r="C235" s="2" t="s">
        <v>11</v>
      </c>
      <c r="D235" s="2" t="s">
        <v>15</v>
      </c>
      <c r="E235" s="2" t="s">
        <v>16</v>
      </c>
      <c r="F235" s="2" t="s">
        <v>22</v>
      </c>
    </row>
    <row r="236" spans="1:6">
      <c r="B236" s="63">
        <v>0</v>
      </c>
      <c r="C236" s="1">
        <v>0.35064935064935066</v>
      </c>
      <c r="D236" s="58">
        <v>0</v>
      </c>
      <c r="E236" s="1">
        <v>0.98507462686567171</v>
      </c>
      <c r="F236" s="1">
        <v>0</v>
      </c>
    </row>
    <row r="237" spans="1:6">
      <c r="A237" s="1" t="s">
        <v>171</v>
      </c>
      <c r="B237" s="2" t="s">
        <v>9</v>
      </c>
      <c r="C237" s="2" t="s">
        <v>12</v>
      </c>
      <c r="D237" s="2" t="s">
        <v>14</v>
      </c>
      <c r="E237" s="2" t="s">
        <v>17</v>
      </c>
      <c r="F237" s="2" t="s">
        <v>22</v>
      </c>
    </row>
    <row r="238" spans="1:6">
      <c r="A238" s="1"/>
      <c r="B238" s="63">
        <v>0</v>
      </c>
      <c r="C238" s="1">
        <v>0</v>
      </c>
      <c r="D238" s="1">
        <v>0</v>
      </c>
      <c r="E238" s="1">
        <v>1.4925373134328308E-2</v>
      </c>
      <c r="F238" s="1">
        <v>0</v>
      </c>
    </row>
    <row r="239" spans="1:6">
      <c r="A239" s="1" t="s">
        <v>172</v>
      </c>
      <c r="B239" s="2" t="s">
        <v>9</v>
      </c>
      <c r="C239" s="2" t="s">
        <v>12</v>
      </c>
      <c r="D239" s="2" t="s">
        <v>15</v>
      </c>
      <c r="E239" s="2" t="s">
        <v>18</v>
      </c>
      <c r="F239" s="2" t="s">
        <v>22</v>
      </c>
    </row>
    <row r="240" spans="1:6">
      <c r="B240" s="63">
        <v>0</v>
      </c>
      <c r="C240" s="1">
        <v>0</v>
      </c>
      <c r="D240" s="58">
        <v>0</v>
      </c>
      <c r="E240" s="1">
        <v>0</v>
      </c>
      <c r="F240" s="1">
        <v>0</v>
      </c>
    </row>
    <row r="243" spans="1:10" s="48" customFormat="1">
      <c r="A243" s="57" t="s">
        <v>173</v>
      </c>
    </row>
    <row r="244" spans="1:10" s="1" customFormat="1"/>
    <row r="245" spans="1:10" s="1" customFormat="1">
      <c r="A245" s="1" t="s">
        <v>360</v>
      </c>
      <c r="B245" s="51">
        <v>0.64935064935064934</v>
      </c>
    </row>
    <row r="246" spans="1:10" s="1" customFormat="1"/>
    <row r="247" spans="1:10" s="1" customFormat="1"/>
    <row r="249" spans="1:10">
      <c r="A249" s="2" t="s">
        <v>30</v>
      </c>
      <c r="B249" s="2" t="s">
        <v>175</v>
      </c>
      <c r="C249" s="2" t="s">
        <v>176</v>
      </c>
      <c r="D249" s="2" t="s">
        <v>177</v>
      </c>
      <c r="E249" s="54" t="s">
        <v>178</v>
      </c>
      <c r="F249" s="41" t="s">
        <v>206</v>
      </c>
      <c r="G249" s="41" t="s">
        <v>207</v>
      </c>
      <c r="H249" s="41" t="s">
        <v>208</v>
      </c>
      <c r="I249" s="41" t="s">
        <v>209</v>
      </c>
      <c r="J249" s="42" t="s">
        <v>210</v>
      </c>
    </row>
    <row r="250" spans="1:10">
      <c r="A250" s="2">
        <v>0</v>
      </c>
      <c r="B250" s="2">
        <v>1</v>
      </c>
      <c r="C250" s="2">
        <v>0</v>
      </c>
      <c r="D250" s="2">
        <v>0</v>
      </c>
      <c r="E250" s="54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</row>
    <row r="251" spans="1:10">
      <c r="A251" s="2">
        <v>1</v>
      </c>
      <c r="B251" s="2">
        <v>1</v>
      </c>
      <c r="C251" s="2">
        <v>0</v>
      </c>
      <c r="D251" s="2">
        <v>0</v>
      </c>
      <c r="E251" s="54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</row>
    <row r="252" spans="1:10">
      <c r="A252" s="2">
        <v>2</v>
      </c>
      <c r="B252" s="2">
        <v>1</v>
      </c>
      <c r="C252" s="2">
        <v>0</v>
      </c>
      <c r="D252" s="2">
        <v>0</v>
      </c>
      <c r="E252" s="54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</row>
    <row r="253" spans="1:10">
      <c r="A253" s="2">
        <v>3</v>
      </c>
      <c r="B253" s="2">
        <v>0.5</v>
      </c>
      <c r="C253" s="2">
        <v>0.16666666666666666</v>
      </c>
      <c r="D253" s="2">
        <v>0</v>
      </c>
      <c r="E253" s="54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</row>
    <row r="254" spans="1:10">
      <c r="A254" s="2">
        <v>4</v>
      </c>
      <c r="B254" s="2">
        <v>0</v>
      </c>
      <c r="C254" s="2">
        <v>0.33333333333333331</v>
      </c>
      <c r="D254" s="2">
        <v>0</v>
      </c>
      <c r="E254" s="54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</row>
    <row r="255" spans="1:10">
      <c r="A255" s="2">
        <v>5</v>
      </c>
      <c r="B255" s="2">
        <v>0</v>
      </c>
      <c r="C255" s="2">
        <v>0.5</v>
      </c>
      <c r="D255" s="2">
        <v>0</v>
      </c>
      <c r="E255" s="54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</row>
    <row r="256" spans="1:10">
      <c r="A256" s="2">
        <v>6</v>
      </c>
      <c r="B256" s="2">
        <v>0</v>
      </c>
      <c r="C256" s="2">
        <v>0.66666666666666663</v>
      </c>
      <c r="D256" s="2">
        <v>0</v>
      </c>
      <c r="E256" s="54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</row>
    <row r="257" spans="1:10">
      <c r="A257" s="2">
        <v>7</v>
      </c>
      <c r="B257" s="2">
        <v>0</v>
      </c>
      <c r="C257" s="2">
        <v>0.83333333333333337</v>
      </c>
      <c r="D257" s="2">
        <v>0.125</v>
      </c>
      <c r="E257" s="54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</row>
    <row r="258" spans="1:10">
      <c r="A258" s="2">
        <v>8</v>
      </c>
      <c r="B258" s="2">
        <v>0</v>
      </c>
      <c r="C258" s="2">
        <v>1</v>
      </c>
      <c r="D258" s="2">
        <v>0.25</v>
      </c>
      <c r="E258" s="54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</row>
    <row r="259" spans="1:10">
      <c r="A259" s="2">
        <v>9</v>
      </c>
      <c r="B259" s="2">
        <v>0</v>
      </c>
      <c r="C259" s="2">
        <v>0.83333333333333337</v>
      </c>
      <c r="D259" s="2">
        <v>0.375</v>
      </c>
      <c r="E259" s="54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</row>
    <row r="260" spans="1:10">
      <c r="A260" s="2">
        <v>10</v>
      </c>
      <c r="B260" s="2">
        <v>0</v>
      </c>
      <c r="C260" s="2">
        <v>0.66666666666666663</v>
      </c>
      <c r="D260" s="2">
        <v>0.5</v>
      </c>
      <c r="E260" s="54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</row>
    <row r="261" spans="1:10">
      <c r="A261" s="2">
        <v>11</v>
      </c>
      <c r="B261" s="2">
        <v>0</v>
      </c>
      <c r="C261" s="2">
        <v>0.5</v>
      </c>
      <c r="D261" s="2">
        <v>0.625</v>
      </c>
      <c r="E261" s="54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</row>
    <row r="262" spans="1:10">
      <c r="A262" s="2">
        <v>12</v>
      </c>
      <c r="B262" s="2">
        <v>0</v>
      </c>
      <c r="C262" s="2">
        <v>0.33333333333333331</v>
      </c>
      <c r="D262" s="2">
        <v>0.75</v>
      </c>
      <c r="E262" s="54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</row>
    <row r="263" spans="1:10">
      <c r="A263" s="2">
        <v>13</v>
      </c>
      <c r="B263" s="2">
        <v>0</v>
      </c>
      <c r="C263" s="2">
        <v>0.16666666666666666</v>
      </c>
      <c r="D263" s="2">
        <v>0.875</v>
      </c>
      <c r="E263" s="54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</row>
    <row r="264" spans="1:10">
      <c r="A264" s="2">
        <v>14</v>
      </c>
      <c r="B264" s="2">
        <v>0</v>
      </c>
      <c r="C264" s="2">
        <v>0</v>
      </c>
      <c r="D264" s="2">
        <v>1</v>
      </c>
      <c r="E264" s="54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</row>
    <row r="265" spans="1:10">
      <c r="A265" s="2">
        <v>15</v>
      </c>
      <c r="B265" s="2">
        <v>0</v>
      </c>
      <c r="C265" s="2">
        <v>0</v>
      </c>
      <c r="D265" s="2">
        <v>0.875</v>
      </c>
      <c r="E265" s="54">
        <v>0.125</v>
      </c>
      <c r="F265" s="2">
        <v>0</v>
      </c>
      <c r="G265" s="2">
        <v>0</v>
      </c>
      <c r="H265" s="2">
        <v>0</v>
      </c>
      <c r="I265" s="2">
        <v>0.125</v>
      </c>
      <c r="J265" s="2">
        <v>0.125</v>
      </c>
    </row>
    <row r="266" spans="1:10">
      <c r="A266" s="2">
        <v>16</v>
      </c>
      <c r="B266" s="2">
        <v>0</v>
      </c>
      <c r="C266" s="2">
        <v>0</v>
      </c>
      <c r="D266" s="2">
        <v>0.75</v>
      </c>
      <c r="E266" s="54">
        <v>0.25</v>
      </c>
      <c r="F266" s="2">
        <v>0</v>
      </c>
      <c r="G266" s="2">
        <v>0</v>
      </c>
      <c r="H266" s="2">
        <v>0</v>
      </c>
      <c r="I266" s="2">
        <v>0.25</v>
      </c>
      <c r="J266" s="2">
        <v>0.25</v>
      </c>
    </row>
    <row r="267" spans="1:10">
      <c r="A267" s="2">
        <v>17</v>
      </c>
      <c r="B267" s="2">
        <v>0</v>
      </c>
      <c r="C267" s="2">
        <v>0</v>
      </c>
      <c r="D267" s="2">
        <v>0.625</v>
      </c>
      <c r="E267" s="54">
        <v>0.375</v>
      </c>
      <c r="F267" s="2">
        <v>0</v>
      </c>
      <c r="G267" s="2">
        <v>0</v>
      </c>
      <c r="H267" s="2">
        <v>0</v>
      </c>
      <c r="I267" s="2">
        <v>0.375</v>
      </c>
      <c r="J267" s="2">
        <v>0.375</v>
      </c>
    </row>
    <row r="268" spans="1:10">
      <c r="A268" s="2">
        <v>18</v>
      </c>
      <c r="B268" s="2">
        <v>0</v>
      </c>
      <c r="C268" s="2">
        <v>0</v>
      </c>
      <c r="D268" s="2">
        <v>0.5</v>
      </c>
      <c r="E268" s="54">
        <v>0.5</v>
      </c>
      <c r="F268" s="2">
        <v>0</v>
      </c>
      <c r="G268" s="2">
        <v>0</v>
      </c>
      <c r="H268" s="2">
        <v>0</v>
      </c>
      <c r="I268" s="2">
        <v>0.5</v>
      </c>
      <c r="J268" s="2">
        <v>0.5</v>
      </c>
    </row>
    <row r="269" spans="1:10">
      <c r="A269" s="2">
        <v>19</v>
      </c>
      <c r="B269" s="2">
        <v>0</v>
      </c>
      <c r="C269" s="2">
        <v>0</v>
      </c>
      <c r="D269" s="2">
        <v>0.375</v>
      </c>
      <c r="E269" s="54">
        <v>0.625</v>
      </c>
      <c r="F269" s="2">
        <v>0</v>
      </c>
      <c r="G269" s="2">
        <v>0</v>
      </c>
      <c r="H269" s="2">
        <v>0</v>
      </c>
      <c r="I269" s="2">
        <v>0.625</v>
      </c>
      <c r="J269" s="2">
        <v>0.625</v>
      </c>
    </row>
    <row r="270" spans="1:10">
      <c r="A270" s="2">
        <v>20</v>
      </c>
      <c r="B270" s="2">
        <v>0</v>
      </c>
      <c r="C270" s="2">
        <v>0</v>
      </c>
      <c r="D270" s="2">
        <v>0.25</v>
      </c>
      <c r="E270" s="54">
        <v>0.75</v>
      </c>
      <c r="F270" s="2">
        <v>0</v>
      </c>
      <c r="G270" s="2">
        <v>0</v>
      </c>
      <c r="H270" s="2">
        <v>0</v>
      </c>
      <c r="I270" s="64">
        <v>0.64935064935064934</v>
      </c>
      <c r="J270" s="64">
        <v>0.64935064935064934</v>
      </c>
    </row>
    <row r="271" spans="1:10">
      <c r="A271" s="2">
        <v>21</v>
      </c>
      <c r="B271" s="2">
        <v>0</v>
      </c>
      <c r="C271" s="2">
        <v>0</v>
      </c>
      <c r="D271" s="2">
        <v>0.125</v>
      </c>
      <c r="E271" s="54">
        <v>0.875</v>
      </c>
      <c r="F271" s="2">
        <v>0</v>
      </c>
      <c r="G271" s="2">
        <v>0</v>
      </c>
      <c r="H271" s="2">
        <v>0</v>
      </c>
      <c r="I271" s="64">
        <v>0.64935064935064934</v>
      </c>
      <c r="J271" s="64">
        <v>0.64935064935064934</v>
      </c>
    </row>
    <row r="272" spans="1:10">
      <c r="A272" s="2">
        <v>22</v>
      </c>
      <c r="B272" s="2">
        <v>0</v>
      </c>
      <c r="C272" s="2">
        <v>0</v>
      </c>
      <c r="D272" s="2">
        <v>0</v>
      </c>
      <c r="E272" s="54">
        <v>1</v>
      </c>
      <c r="F272" s="2">
        <v>0</v>
      </c>
      <c r="G272" s="2">
        <v>0</v>
      </c>
      <c r="H272" s="2">
        <v>0</v>
      </c>
      <c r="I272" s="64">
        <v>0.64935064935064934</v>
      </c>
      <c r="J272" s="64">
        <v>0.64935064935064934</v>
      </c>
    </row>
    <row r="273" spans="1:10">
      <c r="A273" s="2">
        <v>23</v>
      </c>
      <c r="B273" s="2">
        <v>0</v>
      </c>
      <c r="C273" s="2">
        <v>0</v>
      </c>
      <c r="D273" s="2">
        <v>0</v>
      </c>
      <c r="E273" s="54">
        <v>1</v>
      </c>
      <c r="F273" s="2">
        <v>0</v>
      </c>
      <c r="G273" s="2">
        <v>0</v>
      </c>
      <c r="H273" s="2">
        <v>0</v>
      </c>
      <c r="I273" s="64">
        <v>0.64935064935064934</v>
      </c>
      <c r="J273" s="64">
        <v>0.64935064935064934</v>
      </c>
    </row>
    <row r="274" spans="1:10">
      <c r="A274" s="2">
        <v>24</v>
      </c>
      <c r="B274" s="2">
        <v>0</v>
      </c>
      <c r="C274" s="2">
        <v>0</v>
      </c>
      <c r="D274" s="2">
        <v>0</v>
      </c>
      <c r="E274" s="54">
        <v>1</v>
      </c>
      <c r="F274" s="2">
        <v>0</v>
      </c>
      <c r="G274" s="2">
        <v>0</v>
      </c>
      <c r="H274" s="2">
        <v>0</v>
      </c>
      <c r="I274" s="64">
        <v>0.64935064935064934</v>
      </c>
      <c r="J274" s="64">
        <v>0.64935064935064934</v>
      </c>
    </row>
    <row r="275" spans="1:10">
      <c r="A275" s="2">
        <v>25</v>
      </c>
      <c r="B275" s="2">
        <v>0</v>
      </c>
      <c r="C275" s="2">
        <v>0</v>
      </c>
      <c r="D275" s="2">
        <v>0</v>
      </c>
      <c r="E275" s="54">
        <v>1</v>
      </c>
      <c r="F275" s="2">
        <v>0</v>
      </c>
      <c r="G275" s="2">
        <v>0</v>
      </c>
      <c r="H275" s="2">
        <v>0</v>
      </c>
      <c r="I275" s="64">
        <v>0.64935064935064934</v>
      </c>
      <c r="J275" s="64">
        <v>0.64935064935064934</v>
      </c>
    </row>
    <row r="278" spans="1:10" s="52" customFormat="1">
      <c r="A278" s="52" t="s">
        <v>201</v>
      </c>
    </row>
    <row r="281" spans="1:10">
      <c r="A281" s="1" t="s">
        <v>309</v>
      </c>
      <c r="B281" s="1">
        <f>((15*0.125)+(16*0.25)+(17*0.375)+(18*0.5)+(19*0.625)+((20+21+22+23+24+25)*0.649))/((6*0.649)+(0.125)+(0.25)+(0.375)+(0.5)+(0.625))</f>
        <v>20.929103830819901</v>
      </c>
    </row>
    <row r="282" spans="1:10">
      <c r="B282" s="1" t="s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4F78-DF49-4A13-911E-12482C2F11D8}">
  <dimension ref="A1:M106"/>
  <sheetViews>
    <sheetView zoomScale="101" workbookViewId="0">
      <selection activeCell="A113" sqref="A113"/>
    </sheetView>
  </sheetViews>
  <sheetFormatPr defaultRowHeight="15"/>
  <cols>
    <col min="1" max="1" width="13.7109375" customWidth="1"/>
    <col min="2" max="2" width="19.85546875" customWidth="1"/>
    <col min="3" max="3" width="14" customWidth="1"/>
    <col min="4" max="4" width="13.28515625" customWidth="1"/>
    <col min="5" max="5" width="12.7109375" customWidth="1"/>
    <col min="6" max="6" width="17.140625" customWidth="1"/>
    <col min="7" max="7" width="13.140625" customWidth="1"/>
    <col min="8" max="8" width="11.7109375" customWidth="1"/>
    <col min="9" max="10" width="14" customWidth="1"/>
    <col min="11" max="11" width="15.85546875" customWidth="1"/>
    <col min="12" max="12" width="13.85546875" customWidth="1"/>
  </cols>
  <sheetData>
    <row r="1" spans="1:9" s="38" customFormat="1">
      <c r="A1" s="38" t="s">
        <v>151</v>
      </c>
    </row>
    <row r="3" spans="1:9">
      <c r="A3" s="1" t="s">
        <v>153</v>
      </c>
      <c r="C3" s="2">
        <v>26.2</v>
      </c>
      <c r="E3" s="2">
        <v>80</v>
      </c>
      <c r="G3" s="2">
        <v>1010.8</v>
      </c>
      <c r="I3" s="2">
        <v>5</v>
      </c>
    </row>
    <row r="4" spans="1:9">
      <c r="B4" s="29" t="s">
        <v>72</v>
      </c>
      <c r="C4" s="37">
        <f>(27.5-26.2)/(27.5-26)</f>
        <v>0.86666666666666714</v>
      </c>
      <c r="D4" s="29" t="s">
        <v>89</v>
      </c>
      <c r="E4" s="1">
        <v>0</v>
      </c>
      <c r="F4" s="29" t="s">
        <v>110</v>
      </c>
      <c r="G4" s="1">
        <v>0</v>
      </c>
      <c r="H4" s="29" t="s">
        <v>134</v>
      </c>
      <c r="I4" s="1">
        <v>0</v>
      </c>
    </row>
    <row r="5" spans="1:9">
      <c r="B5" s="29" t="s">
        <v>77</v>
      </c>
      <c r="C5" s="37">
        <f>(26.2-26)/(27.5-26)</f>
        <v>0.13333333333333286</v>
      </c>
      <c r="D5" s="29" t="s">
        <v>90</v>
      </c>
      <c r="E5" s="1">
        <v>0.5</v>
      </c>
      <c r="F5" s="29" t="s">
        <v>111</v>
      </c>
      <c r="G5" s="1">
        <f>(1010.8-1008.5)/(1011-1008.5)</f>
        <v>0.91999999999998183</v>
      </c>
      <c r="H5" s="29" t="s">
        <v>135</v>
      </c>
      <c r="I5" s="1">
        <v>0.8</v>
      </c>
    </row>
    <row r="6" spans="1:9">
      <c r="B6" s="29" t="s">
        <v>83</v>
      </c>
      <c r="C6" s="1">
        <v>0</v>
      </c>
      <c r="D6" s="29" t="s">
        <v>91</v>
      </c>
      <c r="E6" s="1">
        <v>0.5</v>
      </c>
      <c r="F6" s="29" t="s">
        <v>112</v>
      </c>
      <c r="G6" s="1">
        <v>0</v>
      </c>
      <c r="H6" s="29" t="s">
        <v>136</v>
      </c>
      <c r="I6" s="1">
        <v>0.2</v>
      </c>
    </row>
    <row r="8" spans="1:9" s="38" customFormat="1">
      <c r="A8" s="38" t="s">
        <v>154</v>
      </c>
    </row>
    <row r="9" spans="1:9">
      <c r="A9" s="1" t="s">
        <v>155</v>
      </c>
      <c r="B9" s="2" t="s">
        <v>7</v>
      </c>
      <c r="C9" s="2" t="s">
        <v>10</v>
      </c>
      <c r="D9" s="2" t="s">
        <v>13</v>
      </c>
      <c r="E9" s="2" t="s">
        <v>16</v>
      </c>
      <c r="F9" s="2" t="s">
        <v>20</v>
      </c>
    </row>
    <row r="10" spans="1:9">
      <c r="B10" s="1">
        <v>0.87</v>
      </c>
      <c r="C10" s="1">
        <v>0</v>
      </c>
      <c r="D10" s="1">
        <v>0</v>
      </c>
      <c r="E10" s="1">
        <v>0</v>
      </c>
      <c r="F10" s="1">
        <v>0</v>
      </c>
    </row>
    <row r="11" spans="1:9">
      <c r="A11" s="1" t="s">
        <v>156</v>
      </c>
      <c r="B11" s="2" t="s">
        <v>7</v>
      </c>
      <c r="C11" s="2" t="s">
        <v>10</v>
      </c>
      <c r="D11" s="2" t="s">
        <v>13</v>
      </c>
      <c r="E11" s="2" t="s">
        <v>17</v>
      </c>
      <c r="F11" s="2" t="s">
        <v>20</v>
      </c>
    </row>
    <row r="12" spans="1:9">
      <c r="A12" s="1"/>
      <c r="B12" s="1">
        <v>0.87</v>
      </c>
      <c r="C12" s="1">
        <v>0</v>
      </c>
      <c r="D12" s="1">
        <v>0</v>
      </c>
      <c r="E12" s="1">
        <v>0.8</v>
      </c>
      <c r="F12" s="1">
        <v>0</v>
      </c>
    </row>
    <row r="13" spans="1:9">
      <c r="A13" s="1" t="s">
        <v>157</v>
      </c>
      <c r="B13" s="2" t="s">
        <v>7</v>
      </c>
      <c r="C13" s="2" t="s">
        <v>11</v>
      </c>
      <c r="D13" s="2" t="s">
        <v>14</v>
      </c>
      <c r="E13" s="2" t="s">
        <v>16</v>
      </c>
      <c r="F13" s="2" t="s">
        <v>20</v>
      </c>
    </row>
    <row r="14" spans="1:9">
      <c r="B14" s="1">
        <v>0.87</v>
      </c>
      <c r="C14" s="1">
        <v>0.5</v>
      </c>
      <c r="D14" s="1">
        <v>0.92</v>
      </c>
      <c r="E14" s="1">
        <v>0</v>
      </c>
    </row>
    <row r="15" spans="1:9">
      <c r="A15" s="1" t="s">
        <v>158</v>
      </c>
      <c r="B15" s="2" t="s">
        <v>7</v>
      </c>
      <c r="C15" s="2" t="s">
        <v>11</v>
      </c>
      <c r="D15" s="2" t="s">
        <v>14</v>
      </c>
      <c r="E15" s="2" t="s">
        <v>17</v>
      </c>
      <c r="F15" s="2" t="s">
        <v>21</v>
      </c>
    </row>
    <row r="16" spans="1:9">
      <c r="A16" s="1"/>
      <c r="B16" s="1">
        <v>0.87</v>
      </c>
      <c r="C16" s="1">
        <v>0.5</v>
      </c>
      <c r="D16" s="1">
        <v>0.92</v>
      </c>
      <c r="E16" s="1">
        <v>0.8</v>
      </c>
      <c r="F16" s="1">
        <v>0.5</v>
      </c>
    </row>
    <row r="17" spans="1:12">
      <c r="A17" s="1" t="s">
        <v>159</v>
      </c>
      <c r="B17" s="2" t="s">
        <v>7</v>
      </c>
      <c r="C17" s="2" t="s">
        <v>12</v>
      </c>
      <c r="D17" s="2" t="s">
        <v>14</v>
      </c>
      <c r="E17" s="2" t="s">
        <v>16</v>
      </c>
      <c r="F17" s="2" t="s">
        <v>19</v>
      </c>
    </row>
    <row r="18" spans="1:12">
      <c r="A18" s="1"/>
      <c r="B18" s="1">
        <v>0.87</v>
      </c>
      <c r="C18" s="1">
        <v>0.5</v>
      </c>
      <c r="D18" s="1">
        <v>0.92</v>
      </c>
      <c r="E18" s="1">
        <v>0</v>
      </c>
      <c r="F18" s="1">
        <v>0</v>
      </c>
    </row>
    <row r="19" spans="1:12">
      <c r="A19" s="1" t="s">
        <v>160</v>
      </c>
      <c r="B19" s="2" t="s">
        <v>7</v>
      </c>
      <c r="C19" s="2" t="s">
        <v>12</v>
      </c>
      <c r="D19" s="2" t="s">
        <v>15</v>
      </c>
      <c r="E19" s="2" t="s">
        <v>16</v>
      </c>
      <c r="F19" s="2" t="s">
        <v>19</v>
      </c>
    </row>
    <row r="20" spans="1:12">
      <c r="A20" s="1"/>
      <c r="B20" s="1">
        <v>0.87</v>
      </c>
      <c r="C20" s="1">
        <v>0.5</v>
      </c>
      <c r="D20" s="1">
        <v>0</v>
      </c>
      <c r="E20" s="1">
        <v>0</v>
      </c>
      <c r="F20" s="1">
        <v>0</v>
      </c>
    </row>
    <row r="21" spans="1:12">
      <c r="A21" s="1" t="s">
        <v>161</v>
      </c>
      <c r="B21" s="2" t="s">
        <v>8</v>
      </c>
      <c r="C21" s="2" t="s">
        <v>10</v>
      </c>
      <c r="D21" s="2" t="s">
        <v>13</v>
      </c>
      <c r="E21" s="2" t="s">
        <v>16</v>
      </c>
      <c r="F21" s="2" t="s">
        <v>20</v>
      </c>
    </row>
    <row r="22" spans="1:12">
      <c r="A22" s="1"/>
      <c r="B22" s="37">
        <f>(26.2-26)/(27.5-26)</f>
        <v>0.13333333333333286</v>
      </c>
      <c r="C22" s="1">
        <v>0</v>
      </c>
      <c r="D22" s="1">
        <v>0</v>
      </c>
      <c r="E22" s="1">
        <v>0</v>
      </c>
      <c r="F22" s="1">
        <v>0</v>
      </c>
    </row>
    <row r="23" spans="1:12">
      <c r="A23" s="1" t="s">
        <v>162</v>
      </c>
      <c r="B23" s="2" t="s">
        <v>8</v>
      </c>
      <c r="C23" s="2" t="s">
        <v>10</v>
      </c>
      <c r="D23" s="2" t="s">
        <v>14</v>
      </c>
      <c r="E23" s="2" t="s">
        <v>17</v>
      </c>
      <c r="F23" s="2" t="s">
        <v>21</v>
      </c>
    </row>
    <row r="24" spans="1:12">
      <c r="A24" s="1"/>
      <c r="B24" s="37">
        <f>(26.2-26)/(27.5-26)</f>
        <v>0.13333333333333286</v>
      </c>
      <c r="C24" s="1">
        <v>0</v>
      </c>
      <c r="D24" s="1">
        <v>0.92</v>
      </c>
      <c r="E24" s="1">
        <v>0.8</v>
      </c>
      <c r="F24" s="1">
        <v>0</v>
      </c>
    </row>
    <row r="25" spans="1:12">
      <c r="A25" s="1" t="s">
        <v>163</v>
      </c>
      <c r="B25" s="2" t="s">
        <v>8</v>
      </c>
      <c r="C25" s="2" t="s">
        <v>11</v>
      </c>
      <c r="D25" s="2" t="s">
        <v>13</v>
      </c>
      <c r="E25" s="2" t="s">
        <v>17</v>
      </c>
      <c r="F25" s="2" t="s">
        <v>19</v>
      </c>
      <c r="G25" s="1"/>
      <c r="H25" s="1"/>
      <c r="I25" s="1"/>
      <c r="J25" s="1"/>
    </row>
    <row r="26" spans="1:12">
      <c r="A26" s="1"/>
      <c r="B26" s="37">
        <f>(26.2-26)/(27.5-26)</f>
        <v>0.13333333333333286</v>
      </c>
      <c r="C26" s="1">
        <v>0.5</v>
      </c>
      <c r="D26" s="1">
        <v>0</v>
      </c>
      <c r="E26" s="1">
        <v>0.8</v>
      </c>
      <c r="F26" s="1">
        <v>0</v>
      </c>
    </row>
    <row r="27" spans="1:12">
      <c r="A27" s="1" t="s">
        <v>164</v>
      </c>
      <c r="B27" s="2" t="s">
        <v>8</v>
      </c>
      <c r="C27" s="2" t="s">
        <v>11</v>
      </c>
      <c r="D27" s="2" t="s">
        <v>14</v>
      </c>
      <c r="E27" s="2" t="s">
        <v>18</v>
      </c>
      <c r="F27" s="2" t="s">
        <v>21</v>
      </c>
    </row>
    <row r="28" spans="1:12">
      <c r="A28" s="1"/>
      <c r="B28" s="37">
        <f>(26.2-26)/(27.5-26)</f>
        <v>0.13333333333333286</v>
      </c>
      <c r="C28" s="1">
        <v>0.5</v>
      </c>
      <c r="D28" s="1">
        <v>0.92</v>
      </c>
      <c r="E28" s="1">
        <v>0.2</v>
      </c>
      <c r="F28" s="1">
        <v>0.13</v>
      </c>
    </row>
    <row r="29" spans="1:12">
      <c r="A29" s="1" t="s">
        <v>165</v>
      </c>
      <c r="B29" s="2" t="s">
        <v>8</v>
      </c>
      <c r="C29" s="2" t="s">
        <v>12</v>
      </c>
      <c r="D29" s="2" t="s">
        <v>13</v>
      </c>
      <c r="E29" s="2" t="s">
        <v>17</v>
      </c>
      <c r="F29" s="2" t="s">
        <v>21</v>
      </c>
      <c r="I29" s="1"/>
      <c r="J29" s="1"/>
      <c r="K29" s="1"/>
      <c r="L29" s="1"/>
    </row>
    <row r="30" spans="1:12">
      <c r="A30" s="1"/>
      <c r="B30" s="37">
        <f>(26.2-26)/(27.5-26)</f>
        <v>0.13333333333333286</v>
      </c>
      <c r="C30" s="1">
        <v>0.5</v>
      </c>
      <c r="D30" s="1">
        <v>0</v>
      </c>
      <c r="E30" s="1">
        <v>0.8</v>
      </c>
      <c r="F30" s="1">
        <v>0</v>
      </c>
    </row>
    <row r="31" spans="1:12">
      <c r="A31" s="1" t="s">
        <v>166</v>
      </c>
      <c r="B31" s="2" t="s">
        <v>8</v>
      </c>
      <c r="C31" s="2" t="s">
        <v>12</v>
      </c>
      <c r="D31" s="2" t="s">
        <v>15</v>
      </c>
      <c r="E31" s="2" t="s">
        <v>16</v>
      </c>
      <c r="F31" s="2" t="s">
        <v>22</v>
      </c>
    </row>
    <row r="32" spans="1:12">
      <c r="A32" s="1"/>
      <c r="B32" s="37">
        <f>(26.2-26)/(27.5-26)</f>
        <v>0.13333333333333286</v>
      </c>
      <c r="C32" s="1">
        <v>0.5</v>
      </c>
      <c r="D32" s="1">
        <v>0</v>
      </c>
      <c r="E32" s="1">
        <v>0</v>
      </c>
      <c r="F32" s="1">
        <v>0</v>
      </c>
    </row>
    <row r="33" spans="1:6">
      <c r="A33" s="1" t="s">
        <v>167</v>
      </c>
      <c r="B33" s="2" t="s">
        <v>9</v>
      </c>
      <c r="C33" s="2" t="s">
        <v>10</v>
      </c>
      <c r="D33" s="2" t="s">
        <v>14</v>
      </c>
      <c r="E33" s="2" t="s">
        <v>16</v>
      </c>
      <c r="F33" s="2" t="s">
        <v>19</v>
      </c>
    </row>
    <row r="34" spans="1:6">
      <c r="B34" s="1">
        <v>0</v>
      </c>
      <c r="C34" s="1">
        <v>0</v>
      </c>
      <c r="D34" s="1">
        <v>0.92</v>
      </c>
      <c r="E34" s="1">
        <v>0</v>
      </c>
      <c r="F34" s="1">
        <v>0</v>
      </c>
    </row>
    <row r="35" spans="1:6">
      <c r="A35" s="1" t="s">
        <v>168</v>
      </c>
      <c r="B35" s="2" t="s">
        <v>9</v>
      </c>
      <c r="C35" s="2" t="s">
        <v>10</v>
      </c>
      <c r="D35" s="2" t="s">
        <v>15</v>
      </c>
      <c r="E35" s="2" t="s">
        <v>18</v>
      </c>
      <c r="F35" s="2" t="s">
        <v>22</v>
      </c>
    </row>
    <row r="36" spans="1:6">
      <c r="A36" s="1"/>
      <c r="B36" s="1">
        <v>0</v>
      </c>
      <c r="C36" s="1">
        <v>0</v>
      </c>
      <c r="D36" s="1">
        <v>0</v>
      </c>
      <c r="E36" s="1">
        <v>0.2</v>
      </c>
      <c r="F36" s="1">
        <v>0</v>
      </c>
    </row>
    <row r="37" spans="1:6">
      <c r="A37" s="1" t="s">
        <v>169</v>
      </c>
      <c r="B37" s="2" t="s">
        <v>9</v>
      </c>
      <c r="C37" s="2" t="s">
        <v>11</v>
      </c>
      <c r="D37" s="2" t="s">
        <v>13</v>
      </c>
      <c r="E37" s="2" t="s">
        <v>18</v>
      </c>
      <c r="F37" s="2" t="s">
        <v>22</v>
      </c>
    </row>
    <row r="38" spans="1:6">
      <c r="A38" s="1"/>
      <c r="B38" s="1">
        <v>0</v>
      </c>
      <c r="C38" s="1">
        <v>0.5</v>
      </c>
      <c r="D38" s="1">
        <v>0</v>
      </c>
      <c r="E38" s="1">
        <v>0.2</v>
      </c>
      <c r="F38" s="1">
        <v>0</v>
      </c>
    </row>
    <row r="39" spans="1:6">
      <c r="A39" s="1" t="s">
        <v>170</v>
      </c>
      <c r="B39" s="2" t="s">
        <v>9</v>
      </c>
      <c r="C39" s="2" t="s">
        <v>11</v>
      </c>
      <c r="D39" s="2" t="s">
        <v>15</v>
      </c>
      <c r="E39" s="2" t="s">
        <v>16</v>
      </c>
      <c r="F39" s="2" t="s">
        <v>22</v>
      </c>
    </row>
    <row r="40" spans="1:6">
      <c r="B40" s="1">
        <v>0</v>
      </c>
      <c r="C40" s="1">
        <v>0.5</v>
      </c>
      <c r="D40" s="1">
        <v>0</v>
      </c>
      <c r="E40" s="1">
        <v>0</v>
      </c>
      <c r="F40" s="1">
        <v>0</v>
      </c>
    </row>
    <row r="41" spans="1:6">
      <c r="A41" s="1" t="s">
        <v>171</v>
      </c>
      <c r="B41" s="2" t="s">
        <v>9</v>
      </c>
      <c r="C41" s="2" t="s">
        <v>12</v>
      </c>
      <c r="D41" s="2" t="s">
        <v>14</v>
      </c>
      <c r="E41" s="2" t="s">
        <v>17</v>
      </c>
      <c r="F41" s="2" t="s">
        <v>22</v>
      </c>
    </row>
    <row r="42" spans="1:6">
      <c r="A42" s="1"/>
      <c r="B42" s="1">
        <v>0</v>
      </c>
      <c r="C42" s="1">
        <v>0.5</v>
      </c>
      <c r="D42" s="1">
        <v>0.92</v>
      </c>
      <c r="E42" s="1">
        <v>0.8</v>
      </c>
      <c r="F42" s="1">
        <v>0</v>
      </c>
    </row>
    <row r="43" spans="1:6">
      <c r="A43" s="1" t="s">
        <v>172</v>
      </c>
      <c r="B43" s="2" t="s">
        <v>9</v>
      </c>
      <c r="C43" s="2" t="s">
        <v>12</v>
      </c>
      <c r="D43" s="2" t="s">
        <v>15</v>
      </c>
      <c r="E43" s="2" t="s">
        <v>18</v>
      </c>
      <c r="F43" s="2" t="s">
        <v>22</v>
      </c>
    </row>
    <row r="44" spans="1:6">
      <c r="B44" s="1">
        <v>0</v>
      </c>
      <c r="C44" s="1">
        <v>0.5</v>
      </c>
      <c r="D44" s="1">
        <v>0</v>
      </c>
      <c r="E44" s="1">
        <v>0.2</v>
      </c>
      <c r="F44" s="1">
        <v>0</v>
      </c>
    </row>
    <row r="46" spans="1:6">
      <c r="B46" s="1"/>
      <c r="C46" s="1"/>
      <c r="D46" s="1"/>
      <c r="E46" s="1"/>
    </row>
    <row r="47" spans="1:6" s="38" customFormat="1">
      <c r="A47" s="38" t="s">
        <v>173</v>
      </c>
      <c r="B47" s="39"/>
      <c r="C47" s="39"/>
      <c r="D47" s="39"/>
      <c r="E47" s="39"/>
    </row>
    <row r="48" spans="1:6">
      <c r="B48" s="1"/>
      <c r="C48" s="1"/>
      <c r="D48" s="1"/>
      <c r="E48" s="1"/>
    </row>
    <row r="49" spans="1:5">
      <c r="A49" s="2" t="s">
        <v>30</v>
      </c>
      <c r="B49" s="2" t="s">
        <v>176</v>
      </c>
      <c r="C49" s="1"/>
      <c r="D49" s="1"/>
      <c r="E49" s="1"/>
    </row>
    <row r="50" spans="1:5">
      <c r="A50" s="2">
        <v>0</v>
      </c>
      <c r="B50" s="2">
        <v>0</v>
      </c>
      <c r="C50" s="1"/>
      <c r="D50" s="1"/>
      <c r="E50" s="1"/>
    </row>
    <row r="51" spans="1:5">
      <c r="A51" s="2">
        <v>1</v>
      </c>
      <c r="B51" s="2">
        <v>0</v>
      </c>
      <c r="C51" s="1"/>
      <c r="D51" s="1"/>
      <c r="E51" s="1"/>
    </row>
    <row r="52" spans="1:5">
      <c r="A52" s="2">
        <v>2</v>
      </c>
      <c r="B52" s="2">
        <v>0</v>
      </c>
      <c r="C52" s="1"/>
      <c r="D52" s="1"/>
      <c r="E52" s="1"/>
    </row>
    <row r="53" spans="1:5">
      <c r="A53" s="2">
        <v>3</v>
      </c>
      <c r="B53" s="2">
        <v>0.16666666666666666</v>
      </c>
      <c r="C53" s="1"/>
      <c r="D53" s="1"/>
      <c r="E53" s="1"/>
    </row>
    <row r="54" spans="1:5">
      <c r="A54" s="2">
        <v>4</v>
      </c>
      <c r="B54" s="2">
        <v>0.33333333333333331</v>
      </c>
      <c r="C54" s="1"/>
      <c r="D54" s="1"/>
      <c r="E54" s="1"/>
    </row>
    <row r="55" spans="1:5">
      <c r="A55" s="2">
        <v>5</v>
      </c>
      <c r="B55" s="2">
        <v>0.5</v>
      </c>
      <c r="C55" s="1"/>
      <c r="D55" s="1"/>
      <c r="E55" s="1"/>
    </row>
    <row r="56" spans="1:5">
      <c r="A56" s="2">
        <v>6</v>
      </c>
      <c r="B56" s="2">
        <v>0.5</v>
      </c>
      <c r="C56" s="1"/>
      <c r="D56" s="1"/>
      <c r="E56" s="1"/>
    </row>
    <row r="57" spans="1:5">
      <c r="A57" s="2">
        <v>7</v>
      </c>
      <c r="B57" s="2">
        <v>0.5</v>
      </c>
      <c r="C57" s="1"/>
      <c r="D57" s="1"/>
      <c r="E57" s="1"/>
    </row>
    <row r="58" spans="1:5">
      <c r="A58" s="2">
        <v>8</v>
      </c>
      <c r="B58" s="2">
        <v>0.5</v>
      </c>
      <c r="C58" s="1"/>
      <c r="D58" s="1"/>
      <c r="E58" s="1"/>
    </row>
    <row r="59" spans="1:5">
      <c r="A59" s="2">
        <v>9</v>
      </c>
      <c r="B59" s="2">
        <v>0.5</v>
      </c>
      <c r="C59" s="1"/>
      <c r="D59" s="1"/>
      <c r="E59" s="1"/>
    </row>
    <row r="60" spans="1:5">
      <c r="A60" s="2">
        <v>10</v>
      </c>
      <c r="B60" s="2">
        <v>0.5</v>
      </c>
      <c r="C60" s="1"/>
      <c r="D60" s="1"/>
      <c r="E60" s="1"/>
    </row>
    <row r="61" spans="1:5">
      <c r="A61" s="2">
        <v>11</v>
      </c>
      <c r="B61" s="2">
        <v>0.5</v>
      </c>
      <c r="C61" s="1"/>
      <c r="D61" s="1"/>
      <c r="E61" s="1"/>
    </row>
    <row r="62" spans="1:5">
      <c r="A62" s="2">
        <v>12</v>
      </c>
      <c r="B62" s="2">
        <v>0.33333333333333331</v>
      </c>
      <c r="C62" s="1"/>
      <c r="D62" s="1"/>
      <c r="E62" s="1"/>
    </row>
    <row r="63" spans="1:5">
      <c r="A63" s="2">
        <v>13</v>
      </c>
      <c r="B63" s="2">
        <v>0.16666666666666666</v>
      </c>
      <c r="C63" s="1"/>
      <c r="D63" s="1"/>
      <c r="E63" s="1"/>
    </row>
    <row r="64" spans="1:5">
      <c r="A64" s="2">
        <v>14</v>
      </c>
      <c r="B64" s="2">
        <v>0</v>
      </c>
      <c r="C64" s="1"/>
      <c r="D64" s="1"/>
      <c r="E64" s="1"/>
    </row>
    <row r="65" spans="1:13">
      <c r="A65" s="2">
        <v>15</v>
      </c>
      <c r="B65" s="2">
        <v>0</v>
      </c>
      <c r="C65" s="1"/>
      <c r="D65" s="1"/>
      <c r="E65" s="1"/>
    </row>
    <row r="66" spans="1:13">
      <c r="A66" s="2">
        <v>16</v>
      </c>
      <c r="B66" s="2">
        <v>0</v>
      </c>
      <c r="C66" s="1"/>
      <c r="D66" s="1"/>
      <c r="E66" s="1"/>
    </row>
    <row r="67" spans="1:13">
      <c r="A67" s="2">
        <v>17</v>
      </c>
      <c r="B67" s="2">
        <v>0</v>
      </c>
      <c r="C67" s="1"/>
      <c r="D67" s="1"/>
      <c r="E67" s="1"/>
    </row>
    <row r="68" spans="1:13">
      <c r="A68" s="2">
        <v>18</v>
      </c>
      <c r="B68" s="2">
        <v>0</v>
      </c>
      <c r="C68" s="1"/>
      <c r="D68" s="1"/>
      <c r="E68" s="1"/>
    </row>
    <row r="69" spans="1:13">
      <c r="A69" s="2">
        <v>19</v>
      </c>
      <c r="B69" s="2">
        <v>0</v>
      </c>
      <c r="C69" s="1"/>
      <c r="D69" s="1"/>
      <c r="E69" s="1"/>
    </row>
    <row r="70" spans="1:13">
      <c r="A70" s="2">
        <v>20</v>
      </c>
      <c r="B70" s="2">
        <v>0</v>
      </c>
      <c r="C70" s="1"/>
      <c r="D70" s="1"/>
      <c r="E70" s="1"/>
    </row>
    <row r="71" spans="1:13">
      <c r="A71" s="2">
        <v>21</v>
      </c>
      <c r="B71" s="2">
        <v>0</v>
      </c>
      <c r="C71" s="1"/>
      <c r="D71" s="1"/>
      <c r="E71" s="1"/>
    </row>
    <row r="72" spans="1:13">
      <c r="A72" s="2">
        <v>22</v>
      </c>
      <c r="B72" s="2">
        <v>0</v>
      </c>
      <c r="C72" s="1"/>
      <c r="D72" s="1"/>
      <c r="E72" s="1"/>
    </row>
    <row r="73" spans="1:13">
      <c r="A73" s="2">
        <v>23</v>
      </c>
      <c r="B73" s="2">
        <v>0</v>
      </c>
      <c r="C73" s="1"/>
      <c r="D73" s="1"/>
      <c r="E73" s="1"/>
    </row>
    <row r="74" spans="1:13">
      <c r="A74" s="2">
        <v>24</v>
      </c>
      <c r="B74" s="2">
        <v>0</v>
      </c>
      <c r="C74" s="1"/>
      <c r="D74" s="1"/>
      <c r="E74" s="1"/>
    </row>
    <row r="75" spans="1:13">
      <c r="A75" s="2">
        <v>25</v>
      </c>
      <c r="B75" s="2">
        <v>0</v>
      </c>
      <c r="C75" s="1"/>
      <c r="D75" s="1"/>
      <c r="E75" s="1"/>
    </row>
    <row r="76" spans="1:13">
      <c r="B76" s="1"/>
      <c r="C76" s="1"/>
      <c r="D76" s="1"/>
      <c r="E76" s="1"/>
    </row>
    <row r="77" spans="1:13">
      <c r="B77" s="1"/>
      <c r="C77" s="1"/>
      <c r="D77" s="1"/>
      <c r="E77" s="1"/>
    </row>
    <row r="78" spans="1:13" s="38" customFormat="1">
      <c r="A78" s="38" t="s">
        <v>201</v>
      </c>
      <c r="B78" s="39"/>
      <c r="C78" s="39"/>
      <c r="D78" s="39"/>
      <c r="E78" s="39"/>
    </row>
    <row r="79" spans="1:13">
      <c r="B79" s="1"/>
      <c r="C79" s="1"/>
      <c r="D79" s="1"/>
      <c r="E79" s="1"/>
    </row>
    <row r="80" spans="1:13">
      <c r="A80" s="40" t="s">
        <v>202</v>
      </c>
      <c r="B80" s="40">
        <v>0</v>
      </c>
      <c r="C80" s="1"/>
      <c r="D80" s="2" t="s">
        <v>30</v>
      </c>
      <c r="E80" s="2" t="s">
        <v>175</v>
      </c>
      <c r="F80" s="2" t="s">
        <v>176</v>
      </c>
      <c r="G80" s="2" t="s">
        <v>177</v>
      </c>
      <c r="H80" s="2" t="s">
        <v>178</v>
      </c>
      <c r="I80" s="41" t="s">
        <v>206</v>
      </c>
      <c r="J80" s="41" t="s">
        <v>207</v>
      </c>
      <c r="K80" s="41" t="s">
        <v>208</v>
      </c>
      <c r="L80" s="41" t="s">
        <v>209</v>
      </c>
      <c r="M80" s="42" t="s">
        <v>210</v>
      </c>
    </row>
    <row r="81" spans="1:13">
      <c r="A81" s="40" t="s">
        <v>203</v>
      </c>
      <c r="B81" s="40">
        <v>0.5</v>
      </c>
      <c r="C81" s="1"/>
      <c r="D81" s="2">
        <v>0</v>
      </c>
      <c r="E81" s="2">
        <v>1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</row>
    <row r="82" spans="1:13">
      <c r="A82" s="40" t="s">
        <v>204</v>
      </c>
      <c r="B82" s="40">
        <v>0</v>
      </c>
      <c r="C82" s="1"/>
      <c r="D82" s="2">
        <v>1</v>
      </c>
      <c r="E82" s="2">
        <v>1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</row>
    <row r="83" spans="1:13">
      <c r="A83" s="40" t="s">
        <v>205</v>
      </c>
      <c r="B83" s="40">
        <v>0</v>
      </c>
      <c r="C83" s="1"/>
      <c r="D83" s="2">
        <v>2</v>
      </c>
      <c r="E83" s="2">
        <v>1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</row>
    <row r="84" spans="1:13">
      <c r="B84" s="1"/>
      <c r="C84" s="1"/>
      <c r="D84" s="2">
        <v>3</v>
      </c>
      <c r="E84" s="2">
        <v>0.5</v>
      </c>
      <c r="F84" s="2">
        <v>0.16666666666666666</v>
      </c>
      <c r="G84" s="2">
        <v>0</v>
      </c>
      <c r="H84" s="2">
        <v>0</v>
      </c>
      <c r="I84" s="2">
        <v>0</v>
      </c>
      <c r="J84" s="2">
        <v>0.16666666666666666</v>
      </c>
      <c r="K84" s="2">
        <v>0</v>
      </c>
      <c r="L84" s="2">
        <v>0</v>
      </c>
      <c r="M84" s="2">
        <v>0.16666666666666666</v>
      </c>
    </row>
    <row r="85" spans="1:13">
      <c r="B85" s="1"/>
      <c r="C85" s="1"/>
      <c r="D85" s="2">
        <v>4</v>
      </c>
      <c r="E85" s="2">
        <v>0</v>
      </c>
      <c r="F85" s="2">
        <v>0.33333333333333331</v>
      </c>
      <c r="G85" s="2">
        <v>0</v>
      </c>
      <c r="H85" s="2">
        <v>0</v>
      </c>
      <c r="I85" s="2">
        <v>0</v>
      </c>
      <c r="J85" s="2">
        <v>0.33333333333333331</v>
      </c>
      <c r="K85" s="2">
        <v>0</v>
      </c>
      <c r="L85" s="2">
        <v>0</v>
      </c>
      <c r="M85" s="2">
        <v>0.33333333333333331</v>
      </c>
    </row>
    <row r="86" spans="1:13">
      <c r="B86" s="1"/>
      <c r="C86" s="1"/>
      <c r="D86" s="2">
        <v>5</v>
      </c>
      <c r="E86" s="2">
        <v>0</v>
      </c>
      <c r="F86" s="2">
        <v>0.5</v>
      </c>
      <c r="G86" s="2">
        <v>0</v>
      </c>
      <c r="H86" s="2">
        <v>0</v>
      </c>
      <c r="I86" s="2">
        <v>0</v>
      </c>
      <c r="J86" s="2">
        <v>0.5</v>
      </c>
      <c r="K86" s="2">
        <v>0</v>
      </c>
      <c r="L86" s="2">
        <v>0</v>
      </c>
      <c r="M86" s="2">
        <v>0.5</v>
      </c>
    </row>
    <row r="87" spans="1:13">
      <c r="A87" s="1" t="s">
        <v>211</v>
      </c>
      <c r="B87" s="1">
        <f>(((4+12)*0.333333)+((5+6+7+8+9+10+11)*0.5)+((3+12)*0.166667))/((0.333333*2)+(0.5*7)+(0.166667*2))</f>
        <v>7.9629628888888897</v>
      </c>
      <c r="C87" s="1"/>
      <c r="D87" s="2">
        <v>6</v>
      </c>
      <c r="E87" s="2">
        <v>0</v>
      </c>
      <c r="F87" s="2">
        <v>0.66666666666666663</v>
      </c>
      <c r="G87" s="2">
        <v>0</v>
      </c>
      <c r="H87" s="2">
        <v>0</v>
      </c>
      <c r="I87" s="2">
        <v>0</v>
      </c>
      <c r="J87" s="2">
        <v>0.5</v>
      </c>
      <c r="K87" s="2">
        <v>0</v>
      </c>
      <c r="L87" s="2">
        <v>0</v>
      </c>
      <c r="M87" s="2">
        <v>0.5</v>
      </c>
    </row>
    <row r="88" spans="1:13">
      <c r="B88" s="1" t="s">
        <v>21</v>
      </c>
      <c r="C88" s="1"/>
      <c r="D88" s="2">
        <v>7</v>
      </c>
      <c r="E88" s="2">
        <v>0</v>
      </c>
      <c r="F88" s="2">
        <v>0.83333333333333337</v>
      </c>
      <c r="G88" s="2">
        <v>0.125</v>
      </c>
      <c r="H88" s="2">
        <v>0</v>
      </c>
      <c r="I88" s="2">
        <v>0</v>
      </c>
      <c r="J88" s="2">
        <v>0.5</v>
      </c>
      <c r="K88" s="2">
        <v>0</v>
      </c>
      <c r="L88" s="2">
        <v>0</v>
      </c>
      <c r="M88" s="2">
        <v>0.5</v>
      </c>
    </row>
    <row r="89" spans="1:13">
      <c r="B89" s="1"/>
      <c r="C89" s="1"/>
      <c r="D89" s="2">
        <v>8</v>
      </c>
      <c r="E89" s="2">
        <v>0</v>
      </c>
      <c r="F89" s="2">
        <v>1</v>
      </c>
      <c r="G89" s="2">
        <v>0.25</v>
      </c>
      <c r="H89" s="2">
        <v>0</v>
      </c>
      <c r="I89" s="2">
        <v>0</v>
      </c>
      <c r="J89" s="2">
        <v>0.5</v>
      </c>
      <c r="K89" s="2">
        <v>0</v>
      </c>
      <c r="L89" s="2">
        <v>0</v>
      </c>
      <c r="M89" s="2">
        <v>0.5</v>
      </c>
    </row>
    <row r="90" spans="1:13">
      <c r="B90" s="1"/>
      <c r="C90" s="1"/>
      <c r="D90" s="2">
        <v>9</v>
      </c>
      <c r="E90" s="2">
        <v>0</v>
      </c>
      <c r="F90" s="2">
        <v>0.83333333333333337</v>
      </c>
      <c r="G90" s="2">
        <v>0.375</v>
      </c>
      <c r="H90" s="2">
        <v>0</v>
      </c>
      <c r="I90" s="2">
        <v>0</v>
      </c>
      <c r="J90" s="2">
        <v>0.5</v>
      </c>
      <c r="K90" s="2">
        <v>0</v>
      </c>
      <c r="L90" s="2">
        <v>0</v>
      </c>
      <c r="M90" s="2">
        <v>0.5</v>
      </c>
    </row>
    <row r="91" spans="1:13">
      <c r="B91" s="1"/>
      <c r="C91" s="1"/>
      <c r="D91" s="2">
        <v>10</v>
      </c>
      <c r="E91" s="2">
        <v>0</v>
      </c>
      <c r="F91" s="2">
        <v>0.66666666666666663</v>
      </c>
      <c r="G91" s="2">
        <v>0.5</v>
      </c>
      <c r="H91" s="2">
        <v>0</v>
      </c>
      <c r="I91" s="2">
        <v>0</v>
      </c>
      <c r="J91" s="2">
        <v>0.5</v>
      </c>
      <c r="K91" s="2">
        <v>0</v>
      </c>
      <c r="L91" s="2">
        <v>0</v>
      </c>
      <c r="M91" s="2">
        <v>0.5</v>
      </c>
    </row>
    <row r="92" spans="1:13">
      <c r="B92" s="1"/>
      <c r="C92" s="1"/>
      <c r="D92" s="2">
        <v>11</v>
      </c>
      <c r="E92" s="2">
        <v>0</v>
      </c>
      <c r="F92" s="2">
        <v>0.5</v>
      </c>
      <c r="G92" s="2">
        <v>0.625</v>
      </c>
      <c r="H92" s="2">
        <v>0</v>
      </c>
      <c r="I92" s="2">
        <v>0</v>
      </c>
      <c r="J92" s="2">
        <v>0.5</v>
      </c>
      <c r="K92" s="2">
        <v>0</v>
      </c>
      <c r="L92" s="2">
        <v>0</v>
      </c>
      <c r="M92" s="2">
        <v>0.5</v>
      </c>
    </row>
    <row r="93" spans="1:13">
      <c r="B93" s="1"/>
      <c r="C93" s="1"/>
      <c r="D93" s="2">
        <v>12</v>
      </c>
      <c r="E93" s="2">
        <v>0</v>
      </c>
      <c r="F93" s="2">
        <v>0.33333333333333331</v>
      </c>
      <c r="G93" s="2">
        <v>0.75</v>
      </c>
      <c r="H93" s="2">
        <v>0</v>
      </c>
      <c r="I93" s="2">
        <v>0</v>
      </c>
      <c r="J93" s="2">
        <v>0.33333333333333331</v>
      </c>
      <c r="K93" s="2">
        <v>0</v>
      </c>
      <c r="L93" s="2">
        <v>0</v>
      </c>
      <c r="M93" s="2">
        <v>0.33333333333333331</v>
      </c>
    </row>
    <row r="94" spans="1:13">
      <c r="B94" s="1"/>
      <c r="C94" s="1"/>
      <c r="D94" s="2">
        <v>13</v>
      </c>
      <c r="E94" s="2">
        <v>0</v>
      </c>
      <c r="F94" s="2">
        <v>0.16666666666666666</v>
      </c>
      <c r="G94" s="2">
        <v>0.875</v>
      </c>
      <c r="H94" s="2">
        <v>0</v>
      </c>
      <c r="I94" s="2">
        <v>0</v>
      </c>
      <c r="J94" s="2">
        <v>0.16666666666666666</v>
      </c>
      <c r="K94" s="2">
        <v>0</v>
      </c>
      <c r="L94" s="2">
        <v>0</v>
      </c>
      <c r="M94" s="2">
        <v>0.16666666666666666</v>
      </c>
    </row>
    <row r="95" spans="1:13">
      <c r="B95" s="1"/>
      <c r="C95" s="1"/>
      <c r="D95" s="2">
        <v>14</v>
      </c>
      <c r="E95" s="2">
        <v>0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</row>
    <row r="96" spans="1:13">
      <c r="B96" s="1"/>
      <c r="C96" s="1"/>
      <c r="D96" s="2">
        <v>15</v>
      </c>
      <c r="E96" s="2">
        <v>0</v>
      </c>
      <c r="F96" s="2">
        <v>0</v>
      </c>
      <c r="G96" s="2">
        <v>0.875</v>
      </c>
      <c r="H96" s="2">
        <v>0.125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</row>
    <row r="97" spans="2:13">
      <c r="B97" s="1"/>
      <c r="C97" s="1"/>
      <c r="D97" s="2">
        <v>16</v>
      </c>
      <c r="E97" s="2">
        <v>0</v>
      </c>
      <c r="F97" s="2">
        <v>0</v>
      </c>
      <c r="G97" s="2">
        <v>0.75</v>
      </c>
      <c r="H97" s="2">
        <v>0.25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</row>
    <row r="98" spans="2:13">
      <c r="B98" s="1"/>
      <c r="C98" s="1"/>
      <c r="D98" s="2">
        <v>17</v>
      </c>
      <c r="E98" s="2">
        <v>0</v>
      </c>
      <c r="F98" s="2">
        <v>0</v>
      </c>
      <c r="G98" s="2">
        <v>0.625</v>
      </c>
      <c r="H98" s="2">
        <v>0.375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</row>
    <row r="99" spans="2:13">
      <c r="B99" s="1"/>
      <c r="C99" s="1"/>
      <c r="D99" s="2">
        <v>18</v>
      </c>
      <c r="E99" s="2">
        <v>0</v>
      </c>
      <c r="F99" s="2">
        <v>0</v>
      </c>
      <c r="G99" s="2">
        <v>0.5</v>
      </c>
      <c r="H99" s="2">
        <v>0.5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</row>
    <row r="100" spans="2:13">
      <c r="B100" s="1"/>
      <c r="C100" s="1"/>
      <c r="D100" s="2">
        <v>19</v>
      </c>
      <c r="E100" s="2">
        <v>0</v>
      </c>
      <c r="F100" s="2">
        <v>0</v>
      </c>
      <c r="G100" s="2">
        <v>0.375</v>
      </c>
      <c r="H100" s="2">
        <v>0.625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</row>
    <row r="101" spans="2:13">
      <c r="B101" s="1"/>
      <c r="C101" s="1"/>
      <c r="D101" s="2">
        <v>20</v>
      </c>
      <c r="E101" s="2">
        <v>0</v>
      </c>
      <c r="F101" s="2">
        <v>0</v>
      </c>
      <c r="G101" s="2">
        <v>0.25</v>
      </c>
      <c r="H101" s="2">
        <v>0.75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</row>
    <row r="102" spans="2:13">
      <c r="D102" s="2">
        <v>21</v>
      </c>
      <c r="E102" s="2">
        <v>0</v>
      </c>
      <c r="F102" s="2">
        <v>0</v>
      </c>
      <c r="G102" s="2">
        <v>0.125</v>
      </c>
      <c r="H102" s="2">
        <v>0.875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</row>
    <row r="103" spans="2:13">
      <c r="D103" s="2">
        <v>22</v>
      </c>
      <c r="E103" s="2">
        <v>0</v>
      </c>
      <c r="F103" s="2">
        <v>0</v>
      </c>
      <c r="G103" s="2">
        <v>0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</row>
    <row r="104" spans="2:13">
      <c r="D104" s="2">
        <v>23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</row>
    <row r="105" spans="2:13">
      <c r="D105" s="2">
        <v>24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</row>
    <row r="106" spans="2:13">
      <c r="D106" s="2">
        <v>25</v>
      </c>
      <c r="E106" s="2">
        <v>0</v>
      </c>
      <c r="F106" s="2">
        <v>0</v>
      </c>
      <c r="G106" s="2">
        <v>0</v>
      </c>
      <c r="H106" s="2">
        <v>1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379F9-7742-4EA5-A69E-5D6B9A1B6688}">
  <dimension ref="B1:M21"/>
  <sheetViews>
    <sheetView tabSelected="1" workbookViewId="0">
      <selection activeCell="L22" sqref="L22"/>
    </sheetView>
  </sheetViews>
  <sheetFormatPr defaultRowHeight="15"/>
  <cols>
    <col min="2" max="2" width="12" customWidth="1"/>
    <col min="3" max="3" width="23" customWidth="1"/>
    <col min="4" max="4" width="19.28515625" customWidth="1"/>
    <col min="5" max="5" width="13" customWidth="1"/>
    <col min="6" max="6" width="19.7109375" customWidth="1"/>
    <col min="7" max="7" width="18" customWidth="1"/>
    <col min="8" max="8" width="13" customWidth="1"/>
    <col min="9" max="9" width="25.85546875" customWidth="1"/>
    <col min="10" max="10" width="26" customWidth="1"/>
    <col min="11" max="11" width="13.42578125" customWidth="1"/>
    <col min="12" max="12" width="18.5703125" customWidth="1"/>
    <col min="13" max="13" width="22" customWidth="1"/>
  </cols>
  <sheetData>
    <row r="1" spans="2:13">
      <c r="B1" s="1">
        <v>26.2</v>
      </c>
      <c r="C1" s="1">
        <v>80</v>
      </c>
      <c r="D1" s="1">
        <v>1010.8</v>
      </c>
      <c r="E1" s="1">
        <v>5</v>
      </c>
    </row>
    <row r="3" spans="2:13">
      <c r="B3" s="45">
        <v>25</v>
      </c>
      <c r="C3" s="45">
        <v>26.1</v>
      </c>
      <c r="D3" s="45">
        <v>27.25</v>
      </c>
      <c r="E3" s="3">
        <v>63</v>
      </c>
      <c r="F3" s="3">
        <v>68.760000000000005</v>
      </c>
      <c r="G3" s="3">
        <v>72.900000000000006</v>
      </c>
      <c r="H3" s="46">
        <v>1007.54</v>
      </c>
      <c r="I3" s="46">
        <v>1009.8</v>
      </c>
      <c r="J3" s="46">
        <v>1011.8</v>
      </c>
      <c r="K3" s="47">
        <v>1.7</v>
      </c>
      <c r="L3" s="47">
        <v>3.6</v>
      </c>
      <c r="M3" s="47">
        <v>6.1749999999999998</v>
      </c>
    </row>
    <row r="5" spans="2:13">
      <c r="C5" s="30">
        <v>1</v>
      </c>
      <c r="D5" s="30" t="s">
        <v>261</v>
      </c>
      <c r="F5" s="30">
        <v>1</v>
      </c>
      <c r="G5" s="30" t="s">
        <v>262</v>
      </c>
      <c r="I5" s="30">
        <v>1</v>
      </c>
      <c r="J5" s="30" t="s">
        <v>263</v>
      </c>
      <c r="L5" s="30">
        <v>1</v>
      </c>
      <c r="M5" s="30" t="s">
        <v>264</v>
      </c>
    </row>
    <row r="6" spans="2:13">
      <c r="B6" s="29" t="s">
        <v>72</v>
      </c>
      <c r="C6" s="31" t="s">
        <v>265</v>
      </c>
      <c r="D6" s="30" t="s">
        <v>266</v>
      </c>
      <c r="E6" s="29" t="s">
        <v>89</v>
      </c>
      <c r="F6" s="31" t="s">
        <v>267</v>
      </c>
      <c r="G6" s="30" t="s">
        <v>268</v>
      </c>
      <c r="H6" s="29" t="s">
        <v>110</v>
      </c>
      <c r="I6" s="31" t="s">
        <v>269</v>
      </c>
      <c r="J6" s="30" t="s">
        <v>270</v>
      </c>
      <c r="K6" s="29" t="s">
        <v>134</v>
      </c>
      <c r="L6" s="31" t="s">
        <v>271</v>
      </c>
      <c r="M6" s="30" t="s">
        <v>272</v>
      </c>
    </row>
    <row r="7" spans="2:13">
      <c r="C7" s="30">
        <v>0</v>
      </c>
      <c r="D7" s="30" t="s">
        <v>273</v>
      </c>
      <c r="F7" s="30">
        <v>0</v>
      </c>
      <c r="G7" s="30" t="s">
        <v>274</v>
      </c>
      <c r="I7" s="30">
        <v>0</v>
      </c>
      <c r="J7" s="30" t="s">
        <v>275</v>
      </c>
      <c r="L7" s="30">
        <v>0</v>
      </c>
      <c r="M7" s="30" t="s">
        <v>276</v>
      </c>
    </row>
    <row r="9" spans="2:13">
      <c r="C9" s="30" t="s">
        <v>277</v>
      </c>
      <c r="D9" s="30" t="s">
        <v>278</v>
      </c>
      <c r="F9" s="30" t="s">
        <v>279</v>
      </c>
      <c r="G9" s="30" t="s">
        <v>280</v>
      </c>
      <c r="I9" s="30" t="s">
        <v>281</v>
      </c>
      <c r="J9" s="30" t="s">
        <v>282</v>
      </c>
      <c r="L9" s="30" t="s">
        <v>283</v>
      </c>
      <c r="M9" s="30" t="s">
        <v>284</v>
      </c>
    </row>
    <row r="10" spans="2:13">
      <c r="B10" s="29" t="s">
        <v>77</v>
      </c>
      <c r="C10" s="31" t="s">
        <v>285</v>
      </c>
      <c r="D10" s="30" t="s">
        <v>286</v>
      </c>
      <c r="E10" s="29" t="s">
        <v>90</v>
      </c>
      <c r="F10" s="31" t="s">
        <v>287</v>
      </c>
      <c r="G10" s="30" t="s">
        <v>288</v>
      </c>
      <c r="H10" s="29" t="s">
        <v>111</v>
      </c>
      <c r="I10" s="31" t="s">
        <v>311</v>
      </c>
      <c r="J10" s="30" t="s">
        <v>289</v>
      </c>
      <c r="K10" s="29" t="s">
        <v>135</v>
      </c>
      <c r="L10" s="31" t="s">
        <v>290</v>
      </c>
      <c r="M10" s="30" t="s">
        <v>291</v>
      </c>
    </row>
    <row r="11" spans="2:13">
      <c r="C11" s="30">
        <v>0</v>
      </c>
      <c r="D11" s="30" t="s">
        <v>292</v>
      </c>
      <c r="F11" s="30">
        <v>0</v>
      </c>
      <c r="G11" s="30" t="s">
        <v>293</v>
      </c>
      <c r="I11" s="30">
        <v>0</v>
      </c>
      <c r="J11" s="30" t="s">
        <v>294</v>
      </c>
      <c r="L11" s="30">
        <v>0</v>
      </c>
      <c r="M11" s="30" t="s">
        <v>295</v>
      </c>
    </row>
    <row r="14" spans="2:13">
      <c r="C14" s="30">
        <v>0</v>
      </c>
      <c r="D14" s="30" t="s">
        <v>296</v>
      </c>
      <c r="F14" s="30">
        <v>0</v>
      </c>
      <c r="G14" s="30" t="s">
        <v>297</v>
      </c>
      <c r="I14" s="30">
        <v>0</v>
      </c>
      <c r="J14" s="30" t="s">
        <v>298</v>
      </c>
      <c r="L14" s="30">
        <v>0</v>
      </c>
      <c r="M14" s="30" t="s">
        <v>299</v>
      </c>
    </row>
    <row r="15" spans="2:13">
      <c r="B15" s="29" t="s">
        <v>83</v>
      </c>
      <c r="C15" s="31" t="s">
        <v>300</v>
      </c>
      <c r="D15" s="30" t="s">
        <v>286</v>
      </c>
      <c r="E15" s="29" t="s">
        <v>91</v>
      </c>
      <c r="F15" s="31" t="s">
        <v>301</v>
      </c>
      <c r="G15" s="30" t="s">
        <v>288</v>
      </c>
      <c r="H15" s="29" t="s">
        <v>112</v>
      </c>
      <c r="I15" s="31" t="s">
        <v>302</v>
      </c>
      <c r="J15" s="30" t="s">
        <v>289</v>
      </c>
      <c r="K15" s="29" t="s">
        <v>136</v>
      </c>
      <c r="L15" s="31" t="s">
        <v>303</v>
      </c>
      <c r="M15" s="30" t="s">
        <v>291</v>
      </c>
    </row>
    <row r="16" spans="2:13">
      <c r="C16" s="30">
        <v>1</v>
      </c>
      <c r="D16" s="30" t="s">
        <v>304</v>
      </c>
      <c r="F16" s="30">
        <v>1</v>
      </c>
      <c r="G16" s="30" t="s">
        <v>305</v>
      </c>
      <c r="I16" s="30">
        <v>1</v>
      </c>
      <c r="J16" s="30" t="s">
        <v>306</v>
      </c>
      <c r="L16" s="30">
        <v>1</v>
      </c>
      <c r="M16" s="30" t="s">
        <v>307</v>
      </c>
    </row>
    <row r="19" spans="2:12">
      <c r="B19" s="29" t="s">
        <v>72</v>
      </c>
      <c r="C19" s="1">
        <f>IF(B1&lt;=B3,1,IF(AND(B1&gt;25,B1&lt;C3),(C3-B1)/(C3-B3),IF(B1&gt;=C3,0)))</f>
        <v>0</v>
      </c>
      <c r="E19" s="29" t="s">
        <v>89</v>
      </c>
      <c r="F19" s="1">
        <f>IF(C1&lt;=E3,1,IF(AND(C1&gt;E3,C1&lt;F3),(F3-C1)/(F3-E3),IF(C1&gt;=F3,0)))</f>
        <v>0</v>
      </c>
      <c r="H19" s="29" t="s">
        <v>110</v>
      </c>
      <c r="I19" s="1">
        <f>IF(D1&lt;=H3,1,IF(AND(D1&gt;H3,D1&lt;I3),(I3-D1)/(I3-H3),IF(D1&gt;=I3,0)))</f>
        <v>0</v>
      </c>
      <c r="K19" s="29" t="s">
        <v>110</v>
      </c>
      <c r="L19" s="1">
        <f>IF(E1&lt;=K3,1,IF(AND(E1&gt;K3,E1&lt;L3),(L3-E1)/(L3-K3),IF(E1&gt;=L3,0)))</f>
        <v>0</v>
      </c>
    </row>
    <row r="20" spans="2:12">
      <c r="B20" s="29" t="s">
        <v>77</v>
      </c>
      <c r="C20" s="1">
        <f>IF(AND(B1&gt;B3,B1&lt;=C3),(B1-B3)/(C3-B3),IF(AND(B1&gt;C3,B1&lt;=D3),(D3-B1)/(D3-C3),IF(B1&gt;D3,0,IF(B1&lt;B3,0))))</f>
        <v>0.91304347826087129</v>
      </c>
      <c r="E20" s="29" t="s">
        <v>90</v>
      </c>
      <c r="F20" s="1">
        <f>IF(AND(C1&gt;E3,C1&lt;=F3),(C1-E3)/(F3-E3),IF(AND(C1&gt;F3,C1&lt;=G3),(G3-C1)/(G3-F3),IF(C1&gt;G3,0,IF(C1&lt;E3,0))))</f>
        <v>0</v>
      </c>
      <c r="H20" s="29" t="s">
        <v>111</v>
      </c>
      <c r="I20" s="1">
        <f>IF(AND(D1&gt;H3,D1&lt;=I3),(D1-H3)/(I3-H3),IF(AND(D1&gt;I3,D1&lt;=J3),(J3-D1)/(J3-I3),IF(D1&gt;J3,0,IF(D1&lt;H3,0))))</f>
        <v>0.5</v>
      </c>
      <c r="K20" s="29" t="s">
        <v>111</v>
      </c>
      <c r="L20" s="20">
        <f>IF(AND(E1&gt;K3,E1&lt;=L3),(E1-K3)/(L3-K3),IF(AND(E1&gt;L3,E1&lt;=M3),(M3-E1)/(M3-L3),IF(E1&gt;M3,0,IF(E1&lt;K3,0))))</f>
        <v>0.45631067961165045</v>
      </c>
    </row>
    <row r="21" spans="2:12">
      <c r="B21" s="29" t="s">
        <v>83</v>
      </c>
      <c r="C21" s="1">
        <f>IF(B1&lt;=B3,0,IF(AND(B1&gt;C3,B1&lt;=D3),(B1-C3)/(D3-C3),IF(B1&gt;D3,1)))</f>
        <v>8.6956521739128684E-2</v>
      </c>
      <c r="E21" s="29" t="s">
        <v>91</v>
      </c>
      <c r="F21" s="1">
        <f>IF(C1&lt;=E3,0,IF(AND(C1&gt;F3,C1&lt;=G3),(C1-F3)/(G3-F3),IF(C1&gt;G3,1)))</f>
        <v>1</v>
      </c>
      <c r="H21" s="29" t="s">
        <v>112</v>
      </c>
      <c r="I21" s="1">
        <f>IF(D1&lt;=H3,0,IF(AND(D1&gt;I3,D1&lt;=J3),(D1-I3)/(J3-I3),IF(D1&gt;J3,1)))</f>
        <v>0.5</v>
      </c>
      <c r="K21" s="29" t="s">
        <v>112</v>
      </c>
      <c r="L21" s="1">
        <f>IF(E1&lt;=K3,0,IF(AND(E1&gt;L3,E1&lt;=M3),(E1-L3)/(M3-L3),IF(E1&gt;M3,1)))</f>
        <v>0.5436893203883495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Rule</vt:lpstr>
      <vt:lpstr>Dataset</vt:lpstr>
      <vt:lpstr>Fungsi Keanggotaan</vt:lpstr>
      <vt:lpstr>Algen</vt:lpstr>
      <vt:lpstr>Kromosom1</vt:lpstr>
      <vt:lpstr>Sheet1</vt:lpstr>
      <vt:lpstr>Kromosom2</vt:lpstr>
      <vt:lpstr>Kromosom3</vt:lpstr>
      <vt:lpstr>Data1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</dc:creator>
  <cp:lastModifiedBy>Nadiya</cp:lastModifiedBy>
  <cp:lastPrinted>2019-02-21T09:17:03Z</cp:lastPrinted>
  <dcterms:created xsi:type="dcterms:W3CDTF">2018-12-04T03:17:18Z</dcterms:created>
  <dcterms:modified xsi:type="dcterms:W3CDTF">2019-05-21T09:52:25Z</dcterms:modified>
</cp:coreProperties>
</file>